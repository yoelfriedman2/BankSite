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Closed or merged" state="visible" r:id="rId5"/>
    <sheet sheetId="3" name="Name changes" state="visible" r:id="rId6"/>
    <sheet sheetId="4" name="Websites" state="visible" r:id="rId7"/>
    <sheet sheetId="5" name="Assets" state="visible" r:id="rId8"/>
    <sheet sheetId="6" name="City changes" state="visible" r:id="rId9"/>
  </sheets>
  <calcPr calcId="171027"/>
</workbook>
</file>

<file path=xl/sharedStrings.xml><?xml version="1.0" encoding="utf-8"?>
<sst xmlns="http://schemas.openxmlformats.org/spreadsheetml/2006/main" count="2189" uniqueCount="931">
  <si>
    <t>FDIC comparison — your bank list vs FDIC BankFind</t>
  </si>
  <si>
    <t/>
  </si>
  <si>
    <t>Source: banks.data.fdic.gov API, pulled 2026-07-03 (financials as of 3/31/2026). Matched by FDIC cert number — no name guessing.</t>
  </si>
  <si>
    <t>Banks checked</t>
  </si>
  <si>
    <t>Closed or merged (no longer FDIC-insured)</t>
  </si>
  <si>
    <t>Name changed</t>
  </si>
  <si>
    <t>Websites on file</t>
  </si>
  <si>
    <t>Websites that failed to load</t>
  </si>
  <si>
    <t>Banks with refreshed asset figures</t>
  </si>
  <si>
    <t>Notes</t>
  </si>
  <si>
    <t>• Every row is matched by cert number, so a wrong-bank mixup is impossible.</t>
  </si>
  <si>
    <t>• Websites are what each bank filed with the FDIC; the Loads? column is a live check from today.</t>
  </si>
  <si>
    <t>• 'Closed or merged' banks may have been acquired — accounts there usually moved to the successor bank.</t>
  </si>
  <si>
    <t>Cert</t>
  </si>
  <si>
    <t>Bank (your list)</t>
  </si>
  <si>
    <t>State</t>
  </si>
  <si>
    <t>No longer FDIC-insured since</t>
  </si>
  <si>
    <t>What to do</t>
  </si>
  <si>
    <t>New Foundation Savings Bank</t>
  </si>
  <si>
    <t>OH</t>
  </si>
  <si>
    <t>06/01/2026</t>
  </si>
  <si>
    <t>Merged, converted, or closed — check where accounts went; remove or retag in the app</t>
  </si>
  <si>
    <t>Athol Savings Bank</t>
  </si>
  <si>
    <t>MA</t>
  </si>
  <si>
    <t>01/01/2026</t>
  </si>
  <si>
    <t>Colonial Federal Savings Bank</t>
  </si>
  <si>
    <t>11/01/2025</t>
  </si>
  <si>
    <t>Jackson Federal Savings and Loan Association</t>
  </si>
  <si>
    <t>MN</t>
  </si>
  <si>
    <t>08/27/2025</t>
  </si>
  <si>
    <t>Eastern Connecticut Savings Bank</t>
  </si>
  <si>
    <t>CT</t>
  </si>
  <si>
    <t>07/01/2025</t>
  </si>
  <si>
    <t>Wakefield Co-operative Bank</t>
  </si>
  <si>
    <t>05/01/2025</t>
  </si>
  <si>
    <t>NVE Bank</t>
  </si>
  <si>
    <t>NJ</t>
  </si>
  <si>
    <t>04/28/2025</t>
  </si>
  <si>
    <t>Pulaski Savings Bank</t>
  </si>
  <si>
    <t>IL</t>
  </si>
  <si>
    <t>01/17/2025</t>
  </si>
  <si>
    <t>Gorham Savings Bank</t>
  </si>
  <si>
    <t>ME</t>
  </si>
  <si>
    <t>01/01/2025</t>
  </si>
  <si>
    <t>Guardian Savings Bank</t>
  </si>
  <si>
    <t>11/29/2024</t>
  </si>
  <si>
    <t>Freehold Bank</t>
  </si>
  <si>
    <t>10/05/2024</t>
  </si>
  <si>
    <t>Pioneer Commercial Bank</t>
  </si>
  <si>
    <t>NY</t>
  </si>
  <si>
    <t>10/01/2024</t>
  </si>
  <si>
    <t>Abington Bank</t>
  </si>
  <si>
    <t>09/21/2024</t>
  </si>
  <si>
    <t>Lake City Federal Bank</t>
  </si>
  <si>
    <t>05/03/2024</t>
  </si>
  <si>
    <t>Nokomis Savings Bank</t>
  </si>
  <si>
    <t>03/31/2024</t>
  </si>
  <si>
    <t>Interstate Federal Savings and Loan Association of McGregor</t>
  </si>
  <si>
    <t>IA</t>
  </si>
  <si>
    <t>02/22/2024</t>
  </si>
  <si>
    <t>Mutual Savings Bank</t>
  </si>
  <si>
    <t>SC</t>
  </si>
  <si>
    <t>01/31/2024</t>
  </si>
  <si>
    <t>Wake Forest Federal Savings and Loan Association</t>
  </si>
  <si>
    <t>NC</t>
  </si>
  <si>
    <t>01/02/2024</t>
  </si>
  <si>
    <t>First Savings Bank</t>
  </si>
  <si>
    <t>11/01/2023</t>
  </si>
  <si>
    <t>Elberton Federal Savings and Loan Association</t>
  </si>
  <si>
    <t>GA</t>
  </si>
  <si>
    <t>07/31/2023</t>
  </si>
  <si>
    <t>First Federal Savings and Loan Association</t>
  </si>
  <si>
    <t>MS</t>
  </si>
  <si>
    <t>07/01/2023</t>
  </si>
  <si>
    <t>Name in your list</t>
  </si>
  <si>
    <t>Current FDIC name</t>
  </si>
  <si>
    <t>Savings Bank of Danbury</t>
  </si>
  <si>
    <t>Ives Bank</t>
  </si>
  <si>
    <t>Essex Savings Bank</t>
  </si>
  <si>
    <t>Essex Bank</t>
  </si>
  <si>
    <t>The Guilford Savings Bank</t>
  </si>
  <si>
    <t>Ascend Bank</t>
  </si>
  <si>
    <t>Pioneer Bank</t>
  </si>
  <si>
    <t>Pioneer Bank, National Association</t>
  </si>
  <si>
    <t>North Shore Bank, a Co-operative Bank</t>
  </si>
  <si>
    <t>TruNorth Bank</t>
  </si>
  <si>
    <t>Cape Cod Co-operative Bank</t>
  </si>
  <si>
    <t>Cape &amp; Coast Bank</t>
  </si>
  <si>
    <t>Hometown Bank</t>
  </si>
  <si>
    <t>Bankhometown</t>
  </si>
  <si>
    <t>Raymond Federal Bank</t>
  </si>
  <si>
    <t>Connect Community Bank</t>
  </si>
  <si>
    <t>WA</t>
  </si>
  <si>
    <t>Somerset Savings Bank, SLA</t>
  </si>
  <si>
    <t>Somerset Regal Bank</t>
  </si>
  <si>
    <t>Arundel Federal Savings Bank</t>
  </si>
  <si>
    <t>Arundel Bank</t>
  </si>
  <si>
    <t>MD</t>
  </si>
  <si>
    <t>Amory Federal Savings and Loan Association</t>
  </si>
  <si>
    <t>Amory First Savings And Loan Bank, Ssb</t>
  </si>
  <si>
    <t>Seneca Savings</t>
  </si>
  <si>
    <t>Seneca Savings Bank, National Association</t>
  </si>
  <si>
    <t>Pioneer Federal Savings and Loan Association</t>
  </si>
  <si>
    <t>Pioneer State Bank</t>
  </si>
  <si>
    <t>MT</t>
  </si>
  <si>
    <t>De Witt Savings Bank</t>
  </si>
  <si>
    <t>DeWitt Savings Bank</t>
  </si>
  <si>
    <t>The Home Savings and Loan Company of Kenton, Ohio</t>
  </si>
  <si>
    <t>The Home Savings and Loan Company of Kenton, Ohio, DBA HSLC</t>
  </si>
  <si>
    <t>Rosedale Federal Savings and Loan Association</t>
  </si>
  <si>
    <t>Rosedale Bank</t>
  </si>
  <si>
    <t>Windsor Federal Savings and Loan Association</t>
  </si>
  <si>
    <t>Windsor Federal Bank</t>
  </si>
  <si>
    <t>Paper City Savings Association</t>
  </si>
  <si>
    <t>Paper City Savings Bank, S.A.</t>
  </si>
  <si>
    <t>WI</t>
  </si>
  <si>
    <t>Lake Shore Savings Bank</t>
  </si>
  <si>
    <t>Lake Shore Bank</t>
  </si>
  <si>
    <t>Easthampton Savings Bank</t>
  </si>
  <si>
    <t>Bankesb</t>
  </si>
  <si>
    <t>Bank</t>
  </si>
  <si>
    <t>Website (per FDIC filing)</t>
  </si>
  <si>
    <t>Loads?</t>
  </si>
  <si>
    <t>Watertown Savings Bank</t>
  </si>
  <si>
    <t>www.watersavingsbank.com</t>
  </si>
  <si>
    <t>NO</t>
  </si>
  <si>
    <t>Bath Savings Institution</t>
  </si>
  <si>
    <t>www.bathsavings.bank</t>
  </si>
  <si>
    <t>First County Bank</t>
  </si>
  <si>
    <t>www.firstcountybank.com</t>
  </si>
  <si>
    <t>First Federal Community Bank, SSB</t>
  </si>
  <si>
    <t>TX</t>
  </si>
  <si>
    <t>www.ffcbank.com</t>
  </si>
  <si>
    <t>Lyons Federal Bank</t>
  </si>
  <si>
    <t>KS</t>
  </si>
  <si>
    <t>WWW.LYONSFED.COM</t>
  </si>
  <si>
    <t>The Cincinnatus Savings &amp; Loan Co.</t>
  </si>
  <si>
    <t>www.cincinnatussl.com</t>
  </si>
  <si>
    <t>Columbia Savings and Loan Association</t>
  </si>
  <si>
    <t>www.columbiasla.com</t>
  </si>
  <si>
    <t>United Savings Bank</t>
  </si>
  <si>
    <t>PA</t>
  </si>
  <si>
    <t>HTTPS://WWW.UNITEDSAVINGSBANK.COM</t>
  </si>
  <si>
    <t>Second Federal Savings and Loan Association of Philadelphia</t>
  </si>
  <si>
    <t>www.secondfed.com</t>
  </si>
  <si>
    <t>cfsbank</t>
  </si>
  <si>
    <t>www.cfsbank.bank</t>
  </si>
  <si>
    <t>KY</t>
  </si>
  <si>
    <t>www.firstfederalhazard.com</t>
  </si>
  <si>
    <t>Union County Savings Bank</t>
  </si>
  <si>
    <t>www.unioncountysavings.com</t>
  </si>
  <si>
    <t>yes</t>
  </si>
  <si>
    <t>Kennebunk Savings Bank</t>
  </si>
  <si>
    <t>www.kennebunksavings.com</t>
  </si>
  <si>
    <t>Passumpsic Savings Bank</t>
  </si>
  <si>
    <t>VT</t>
  </si>
  <si>
    <t>http://www.passumpsicbank.com</t>
  </si>
  <si>
    <t>Wells River Savings Bank</t>
  </si>
  <si>
    <t>www.wellsriversavings.com</t>
  </si>
  <si>
    <t>Northfield Savings Bank</t>
  </si>
  <si>
    <t>www.nsbvt.com</t>
  </si>
  <si>
    <t>www.ivesbank.com</t>
  </si>
  <si>
    <t>Fulton Savings Bank</t>
  </si>
  <si>
    <t>www.fultonsavings.com</t>
  </si>
  <si>
    <t>Rondout Savings Bank</t>
  </si>
  <si>
    <t>www.rondoutbank.com</t>
  </si>
  <si>
    <t>Ulster Savings Bank</t>
  </si>
  <si>
    <t>www.ulstersavings.com</t>
  </si>
  <si>
    <t>Walden Savings Bank</t>
  </si>
  <si>
    <t>www.waldensavings.bank</t>
  </si>
  <si>
    <t>Ridgewood Savings Bank</t>
  </si>
  <si>
    <t>www.ridgewoodbank.com</t>
  </si>
  <si>
    <t>The North Country Savings Bank</t>
  </si>
  <si>
    <t>northcountrysavings.bank</t>
  </si>
  <si>
    <t>Rhinebeck Bank</t>
  </si>
  <si>
    <t>www.rhinebeckbank.com</t>
  </si>
  <si>
    <t>Sawyer Savings Bank</t>
  </si>
  <si>
    <t>www.SawyerSavings.bank</t>
  </si>
  <si>
    <t>The Milford Bank</t>
  </si>
  <si>
    <t>www.milfordbank.com</t>
  </si>
  <si>
    <t>The Torrington Savings Bank</t>
  </si>
  <si>
    <t>www.torringtonsavings.bank</t>
  </si>
  <si>
    <t>Partners Bank of New England</t>
  </si>
  <si>
    <t>www.partners.bank</t>
  </si>
  <si>
    <t>Artisans' Bank</t>
  </si>
  <si>
    <t>DE</t>
  </si>
  <si>
    <t>www.artisansbank.com</t>
  </si>
  <si>
    <t>Meredith Village Savings Bank</t>
  </si>
  <si>
    <t>NH</t>
  </si>
  <si>
    <t>www.mvsb.com</t>
  </si>
  <si>
    <t>www.essex.bank</t>
  </si>
  <si>
    <t>Piscataqua Savings Bank</t>
  </si>
  <si>
    <t>www.piscataqua.com</t>
  </si>
  <si>
    <t>Norway Savings Bank</t>
  </si>
  <si>
    <t>www.norwaysavings.bank</t>
  </si>
  <si>
    <t>The Hometown Savings Bank</t>
  </si>
  <si>
    <t>IN</t>
  </si>
  <si>
    <t>http://www.thsb.com</t>
  </si>
  <si>
    <t>Maine Community Bank</t>
  </si>
  <si>
    <t>www.maine.bank</t>
  </si>
  <si>
    <t>Saco &amp; Biddeford Savings Institution</t>
  </si>
  <si>
    <t>www.sbsavings.bank</t>
  </si>
  <si>
    <t>Androscoggin Savings Bank</t>
  </si>
  <si>
    <t>www.androscogginbank.com</t>
  </si>
  <si>
    <t>Centreville Bank</t>
  </si>
  <si>
    <t>RI</t>
  </si>
  <si>
    <t>http://www.centrevillebank.com</t>
  </si>
  <si>
    <t>Rollstone Bank &amp; Trust</t>
  </si>
  <si>
    <t>http://www.rollstonebank.com</t>
  </si>
  <si>
    <t>Cambridge Savings Bank</t>
  </si>
  <si>
    <t>www.cambridgesavings.com</t>
  </si>
  <si>
    <t>Kennebec Savings Bank</t>
  </si>
  <si>
    <t>www.kennebecsavings.bank</t>
  </si>
  <si>
    <t>Liberty Bank</t>
  </si>
  <si>
    <t>www.liberty-bank.com</t>
  </si>
  <si>
    <t>Franklin Savings Bank</t>
  </si>
  <si>
    <t>www.fsbnh.bank</t>
  </si>
  <si>
    <t>Merrimack County Savings Bank</t>
  </si>
  <si>
    <t>http://www.mcsbnh.com</t>
  </si>
  <si>
    <t>Bank of New Hampshire</t>
  </si>
  <si>
    <t>www.BNH.bank</t>
  </si>
  <si>
    <t>Mascoma Bank</t>
  </si>
  <si>
    <t>www.mascoma.bank</t>
  </si>
  <si>
    <t>Sugar River Bank</t>
  </si>
  <si>
    <t>www.sugarriverbank.com</t>
  </si>
  <si>
    <t>Savings Bank of Walpole</t>
  </si>
  <si>
    <t>www.walpolebank.com</t>
  </si>
  <si>
    <t>Claremont Savings Bank</t>
  </si>
  <si>
    <t>www.claremontsavings.bank</t>
  </si>
  <si>
    <t>BankNewport</t>
  </si>
  <si>
    <t>www.banknewport.com</t>
  </si>
  <si>
    <t>Union Savings Bank</t>
  </si>
  <si>
    <t>https://www.unionsavings.com</t>
  </si>
  <si>
    <t>www.ascend.bank</t>
  </si>
  <si>
    <t>Ion Bank</t>
  </si>
  <si>
    <t>www.ionbank.com</t>
  </si>
  <si>
    <t>Newtown Savings Bank</t>
  </si>
  <si>
    <t>www.nsbonline.com</t>
  </si>
  <si>
    <t>Dime Bank</t>
  </si>
  <si>
    <t>http://www.dime-bank.com</t>
  </si>
  <si>
    <t>Fairfield County Bank</t>
  </si>
  <si>
    <t>fairfieldcountybank.com</t>
  </si>
  <si>
    <t>Stafford Savings Bank</t>
  </si>
  <si>
    <t>www.staffordsavingsbank.com</t>
  </si>
  <si>
    <t>Northwest Community Bank</t>
  </si>
  <si>
    <t>www.nwcommunitybank.com</t>
  </si>
  <si>
    <t>Jewett City Savings Bank</t>
  </si>
  <si>
    <t>www.jcsbank.com</t>
  </si>
  <si>
    <t>Chelsea Groton Bank</t>
  </si>
  <si>
    <t>www.chelseagroton.com</t>
  </si>
  <si>
    <t>Thomaston Savings Bank</t>
  </si>
  <si>
    <t>www.thomastonsavingsbank.com</t>
  </si>
  <si>
    <t>Bangor Savings Bank</t>
  </si>
  <si>
    <t>www.bangor.com</t>
  </si>
  <si>
    <t>Mt. McKinley Bank</t>
  </si>
  <si>
    <t>AK</t>
  </si>
  <si>
    <t>www.mtmckinleybank.com</t>
  </si>
  <si>
    <t>Machias Savings Bank</t>
  </si>
  <si>
    <t>www.MachiasSavings.com</t>
  </si>
  <si>
    <t>Skowhegan Savings Bank</t>
  </si>
  <si>
    <t>www.skowhegan.com</t>
  </si>
  <si>
    <t>www.franklinsavings.bank</t>
  </si>
  <si>
    <t>www.pioneerny.com</t>
  </si>
  <si>
    <t>The Bank of Greene County</t>
  </si>
  <si>
    <t>www.tbogc.com</t>
  </si>
  <si>
    <t>Fall River Five Cents Savings Bank</t>
  </si>
  <si>
    <t>http://www.bankfive.com</t>
  </si>
  <si>
    <t>The Cape Cod Five Cents Savings Bank</t>
  </si>
  <si>
    <t>www.capecodfive.com</t>
  </si>
  <si>
    <t>Florence Bank</t>
  </si>
  <si>
    <t>www.florencebank.com</t>
  </si>
  <si>
    <t>Salem Five Cents Savings Bank</t>
  </si>
  <si>
    <t>http://www.salemfive.com</t>
  </si>
  <si>
    <t>www.watertownsavings.com</t>
  </si>
  <si>
    <t>Dedham Institution for Savings</t>
  </si>
  <si>
    <t>www.dedhamsavings.com</t>
  </si>
  <si>
    <t>Bristol County Savings Bank</t>
  </si>
  <si>
    <t>www.bristolcountysavings.com</t>
  </si>
  <si>
    <t>Country Bank for Savings</t>
  </si>
  <si>
    <t>www.countrybank.com</t>
  </si>
  <si>
    <t>The Village Bank</t>
  </si>
  <si>
    <t>www.village-bank.com</t>
  </si>
  <si>
    <t>The Pittsfield Co-operative Bank</t>
  </si>
  <si>
    <t>www.pittsfield-coop.com</t>
  </si>
  <si>
    <t>MutualOne Bank</t>
  </si>
  <si>
    <t>www.mutualone.com</t>
  </si>
  <si>
    <t>Greenfield Co-operative Bank</t>
  </si>
  <si>
    <t>www.greenfieldcoopbank.com</t>
  </si>
  <si>
    <t>Haverhill Bank</t>
  </si>
  <si>
    <t>www.haverhillbank.com</t>
  </si>
  <si>
    <t>Canton Co-operative Bank</t>
  </si>
  <si>
    <t>www.cantoncoopbank.com</t>
  </si>
  <si>
    <t>Fidelity Co-operative Bank</t>
  </si>
  <si>
    <t>www.fidelitybankonline.com</t>
  </si>
  <si>
    <t>Savers Co-operative Bank</t>
  </si>
  <si>
    <t>http://www.saversbank.com</t>
  </si>
  <si>
    <t>Needham Bank</t>
  </si>
  <si>
    <t>www.needhambank.com</t>
  </si>
  <si>
    <t>www.trunorthbank.com</t>
  </si>
  <si>
    <t>Walpole Co-operative Bank</t>
  </si>
  <si>
    <t>www.walpolecoop.com</t>
  </si>
  <si>
    <t>Methuen Co-operative Bank</t>
  </si>
  <si>
    <t>WWW.METHUENCOOP.COM</t>
  </si>
  <si>
    <t>Stoughton Co-operative Bank</t>
  </si>
  <si>
    <t>www.stoughtoncoop.bank</t>
  </si>
  <si>
    <t>www.capeandcoastbank.com</t>
  </si>
  <si>
    <t>www.bankhometown.com</t>
  </si>
  <si>
    <t>BankGloucester</t>
  </si>
  <si>
    <t>https://bankgloucester.com</t>
  </si>
  <si>
    <t>Bank of Easton</t>
  </si>
  <si>
    <t>www.bankofeaston.com</t>
  </si>
  <si>
    <t>OneLocal Bank</t>
  </si>
  <si>
    <t>https://www.onelocalbank.com/</t>
  </si>
  <si>
    <t>StonehamBank,  A Co-operative Bank</t>
  </si>
  <si>
    <t>stonehambank.com</t>
  </si>
  <si>
    <t>North Cambridge Co-operative Bank</t>
  </si>
  <si>
    <t>WWW.ASKNCCB.COM</t>
  </si>
  <si>
    <t>Wrentham Co-operative Bank</t>
  </si>
  <si>
    <t>www.wrenthamcoop.com</t>
  </si>
  <si>
    <t>Coastal Heritage Bank</t>
  </si>
  <si>
    <t>www.coastalheritagebank.com</t>
  </si>
  <si>
    <t>Charles River Bank</t>
  </si>
  <si>
    <t>www.charlesriverbank.com</t>
  </si>
  <si>
    <t>Reading Co-operative Bank</t>
  </si>
  <si>
    <t>www.readingcoop.com</t>
  </si>
  <si>
    <t>Mechanics Cooperative Bank</t>
  </si>
  <si>
    <t>www.mechanics.bank</t>
  </si>
  <si>
    <t>The Cooperative Bank</t>
  </si>
  <si>
    <t>http://www.thecooperativebank.com</t>
  </si>
  <si>
    <t>Winchester Co-operative Bank</t>
  </si>
  <si>
    <t>www.wcbonline.com</t>
  </si>
  <si>
    <t>Dean Co-operative Bank</t>
  </si>
  <si>
    <t>www.deanbank.com</t>
  </si>
  <si>
    <t>Port Richmond Savings</t>
  </si>
  <si>
    <t>www.prsbank.com</t>
  </si>
  <si>
    <t>Piedmont Federal Savings Bank</t>
  </si>
  <si>
    <t>www.piedmontfederal.com</t>
  </si>
  <si>
    <t>First Federal Bank of Ohio</t>
  </si>
  <si>
    <t>www.firstfederalbankofohio.bank</t>
  </si>
  <si>
    <t>Sterling Federal Bank, F.S.B.</t>
  </si>
  <si>
    <t>www.sterlingfederal.com</t>
  </si>
  <si>
    <t>Slovenian Savings and Loan Association of Canonsburg</t>
  </si>
  <si>
    <t>www.sloveniansavingsandloan.com</t>
  </si>
  <si>
    <t>Fifth District Savings Bank</t>
  </si>
  <si>
    <t>LA</t>
  </si>
  <si>
    <t>www.fifthdistrict.com</t>
  </si>
  <si>
    <t>Altoona First Savings Bank</t>
  </si>
  <si>
    <t>www.altoonabank.com</t>
  </si>
  <si>
    <t>Mutual Savings and Loan Association</t>
  </si>
  <si>
    <t>www.mutualsavings.com</t>
  </si>
  <si>
    <t>Security Bank, s.b.</t>
  </si>
  <si>
    <t>www.securitybk.com</t>
  </si>
  <si>
    <t>Hibernia Bank</t>
  </si>
  <si>
    <t>www.hibernia.bank</t>
  </si>
  <si>
    <t>InFirst Bank</t>
  </si>
  <si>
    <t>www.infirstbank.bank</t>
  </si>
  <si>
    <t>Union Federal Savings and Loan Association</t>
  </si>
  <si>
    <t>www.myunionfederal.com</t>
  </si>
  <si>
    <t>Gate City Bank</t>
  </si>
  <si>
    <t>ND</t>
  </si>
  <si>
    <t>www.gatecity.bank</t>
  </si>
  <si>
    <t>Fairfield Federal Savings and Loan Association of Lancaster</t>
  </si>
  <si>
    <t>www.fairfieldfederal.com</t>
  </si>
  <si>
    <t>Salem Co-operative Bank</t>
  </si>
  <si>
    <t>www.salemcoop.com</t>
  </si>
  <si>
    <t>Citizens Federal Savings and Loan Association</t>
  </si>
  <si>
    <t>www.citizens-federal.com</t>
  </si>
  <si>
    <t>Huntington Federal Savings Bank</t>
  </si>
  <si>
    <t>WV</t>
  </si>
  <si>
    <t>www.huntingtonfederal.com</t>
  </si>
  <si>
    <t>Home Savings and Loan Association of Carroll County, F.A.</t>
  </si>
  <si>
    <t>MO</t>
  </si>
  <si>
    <t>www.norbornehsl.com</t>
  </si>
  <si>
    <t>Brentwood Bank</t>
  </si>
  <si>
    <t>www.brentwoodbank.com</t>
  </si>
  <si>
    <t>Greenville Federal</t>
  </si>
  <si>
    <t>www.greenvillefederal.com</t>
  </si>
  <si>
    <t>Belmont Savings Bank, SSB</t>
  </si>
  <si>
    <t>www.belmontsavingsbank.com</t>
  </si>
  <si>
    <t>WWW.CITIZENSFEDERALSL.COM</t>
  </si>
  <si>
    <t>The Covington Savings and Loan Association</t>
  </si>
  <si>
    <t>www.covingtonsavingsandloan.com</t>
  </si>
  <si>
    <t>The Harrison Building and Loan Association</t>
  </si>
  <si>
    <t>www.bankhbl.com</t>
  </si>
  <si>
    <t>Collinsville Building and Loan Association</t>
  </si>
  <si>
    <t>www.collinsvillebuildingandloan.com</t>
  </si>
  <si>
    <t>Yakima Federal Savings and Loan Association</t>
  </si>
  <si>
    <t>yakimafed.com</t>
  </si>
  <si>
    <t>Profile Bank</t>
  </si>
  <si>
    <t>www.profilebank.com</t>
  </si>
  <si>
    <t>MCS Bank</t>
  </si>
  <si>
    <t>WWW.MCS.BANK</t>
  </si>
  <si>
    <t>San Luis Valley Federal Bank</t>
  </si>
  <si>
    <t>CO</t>
  </si>
  <si>
    <t>www.slvfed.bank</t>
  </si>
  <si>
    <t>Winter Hill Bank, FSB</t>
  </si>
  <si>
    <t>www.winterhillbank.com</t>
  </si>
  <si>
    <t>Warsaw Federal Savings and Loan Association</t>
  </si>
  <si>
    <t>www.warsawfederal.bank</t>
  </si>
  <si>
    <t>Haddon Savings Bank</t>
  </si>
  <si>
    <t>haddonsavings.com</t>
  </si>
  <si>
    <t>Home Savings Bank</t>
  </si>
  <si>
    <t>www.homesavingschanute.com</t>
  </si>
  <si>
    <t>www.mycc.bank</t>
  </si>
  <si>
    <t>Ozarks Federal Savings and Loan Association</t>
  </si>
  <si>
    <t>www.ofsl.bank</t>
  </si>
  <si>
    <t>Auburn Savings Bank, FSB</t>
  </si>
  <si>
    <t>www.auburnsavings.com</t>
  </si>
  <si>
    <t>Mutual Federal Bank</t>
  </si>
  <si>
    <t>www.mutualfederalbank.com</t>
  </si>
  <si>
    <t>Riverside Savings Bank, SSB</t>
  </si>
  <si>
    <t>www.riversidesavings.com</t>
  </si>
  <si>
    <t>RG Bank, A Savings and Loan Association</t>
  </si>
  <si>
    <t>www.rgbank.bank</t>
  </si>
  <si>
    <t>FIDELITY BANK</t>
  </si>
  <si>
    <t>www.bankwithfidelity.com</t>
  </si>
  <si>
    <t>Belmont Savings Bank</t>
  </si>
  <si>
    <t>www.bsb.bank</t>
  </si>
  <si>
    <t>Middlesex Federal Savings, F.A.</t>
  </si>
  <si>
    <t>www.middlesexfederal.com</t>
  </si>
  <si>
    <t>Rockland Savings Bank, FSB</t>
  </si>
  <si>
    <t>www.rocklandsavingsbank.com</t>
  </si>
  <si>
    <t>Eureka Savings Bank</t>
  </si>
  <si>
    <t>http://www.eurekasavings.com</t>
  </si>
  <si>
    <t>Central Federal Savings and Loan Association</t>
  </si>
  <si>
    <t>www.centralfederalsavings.com</t>
  </si>
  <si>
    <t>www.libbk.com</t>
  </si>
  <si>
    <t>Roxboro Savings Bank, SSB</t>
  </si>
  <si>
    <t>WWW.ROXBOROSAVINGS.COM</t>
  </si>
  <si>
    <t>Farmers and Mechanics Federal Savings Bank</t>
  </si>
  <si>
    <t>http://www.farmersandmechanicsfederal.com</t>
  </si>
  <si>
    <t>Argentine Federal Savings</t>
  </si>
  <si>
    <t>www.argentinefed.com</t>
  </si>
  <si>
    <t>TrustTexas Bank, SSB</t>
  </si>
  <si>
    <t>www.trusttexas.bank</t>
  </si>
  <si>
    <t>Forward Bank</t>
  </si>
  <si>
    <t>www.forward.bank</t>
  </si>
  <si>
    <t>Valley Central Bank</t>
  </si>
  <si>
    <t>www.valleycentral.org</t>
  </si>
  <si>
    <t>Maple City Savings Bank, FSB</t>
  </si>
  <si>
    <t>www.maplecitysavings.com</t>
  </si>
  <si>
    <t>Olympia Federal Savings and Loan Association</t>
  </si>
  <si>
    <t>www.olyfed.com</t>
  </si>
  <si>
    <t>The Equitable Bank, S.S.B.</t>
  </si>
  <si>
    <t>equitablebank.net</t>
  </si>
  <si>
    <t>Milton Savings Bank</t>
  </si>
  <si>
    <t>www.miltonsavingsbank.com</t>
  </si>
  <si>
    <t>Fairview Savings and Loan Association</t>
  </si>
  <si>
    <t>OK</t>
  </si>
  <si>
    <t>www.fairviewsavings.com</t>
  </si>
  <si>
    <t>The Brookville Building and Savings Association</t>
  </si>
  <si>
    <t>www.brookvillesavings.com</t>
  </si>
  <si>
    <t>Homestead Savings Bank</t>
  </si>
  <si>
    <t>MI</t>
  </si>
  <si>
    <t>www.hsbank.bank</t>
  </si>
  <si>
    <t>Conneaut Savings Bank</t>
  </si>
  <si>
    <t>http://www.conneautsavings.com</t>
  </si>
  <si>
    <t>North Shore Bank</t>
  </si>
  <si>
    <t>www.northshorebank.com</t>
  </si>
  <si>
    <t>Ambler Savings Bank</t>
  </si>
  <si>
    <t>www.amblersav.com</t>
  </si>
  <si>
    <t>First Federal Savings and Loan Association of Greene Co</t>
  </si>
  <si>
    <t>www.ffgc.bank</t>
  </si>
  <si>
    <t>GSL Savings Bank</t>
  </si>
  <si>
    <t>www.gslsavingsbank.com</t>
  </si>
  <si>
    <t>First Federal Savings of Middletown</t>
  </si>
  <si>
    <t>www.firstfederalmiddletown.com</t>
  </si>
  <si>
    <t>Ascendia Bank</t>
  </si>
  <si>
    <t>www.ascendiabank.com</t>
  </si>
  <si>
    <t>Hoyne Savings Bank</t>
  </si>
  <si>
    <t>www.hoyne.bank</t>
  </si>
  <si>
    <t>First Federal Savings Bank of Angola</t>
  </si>
  <si>
    <t>www.ffsbangola.com</t>
  </si>
  <si>
    <t>www.somersetregalbank.com</t>
  </si>
  <si>
    <t>www.arundelfederal.com</t>
  </si>
  <si>
    <t>Sturdy Savings Bank</t>
  </si>
  <si>
    <t>www.sturdyonline.com</t>
  </si>
  <si>
    <t>Superior Savings Bank</t>
  </si>
  <si>
    <t>www.ss-bank.com</t>
  </si>
  <si>
    <t>Sharon Bank</t>
  </si>
  <si>
    <t>www.sharonbank.com</t>
  </si>
  <si>
    <t>Crest Savings Bank</t>
  </si>
  <si>
    <t>www.crestsavings.bank</t>
  </si>
  <si>
    <t>Columbia Bank</t>
  </si>
  <si>
    <t>www.columbiabankonline.com</t>
  </si>
  <si>
    <t>The Brattleboro Savings and Loan Association</t>
  </si>
  <si>
    <t>www.brattbank.com</t>
  </si>
  <si>
    <t>Community Savings Bank</t>
  </si>
  <si>
    <t>www.communitysavingsbank.bank</t>
  </si>
  <si>
    <t>First Federal Savings Bank of Twin Falls</t>
  </si>
  <si>
    <t>ID</t>
  </si>
  <si>
    <t>www.BankFirstFed.com</t>
  </si>
  <si>
    <t>First Piedmont Federal Savings and Loan Association of Gaffney</t>
  </si>
  <si>
    <t>www.firstpiedmont.com</t>
  </si>
  <si>
    <t>Century Savings and Loan Association</t>
  </si>
  <si>
    <t>www.centurysavings.com</t>
  </si>
  <si>
    <t>Wallkill Valley Federal Savings and Loan Association</t>
  </si>
  <si>
    <t>www.wallkill.com</t>
  </si>
  <si>
    <t>Security Federal Savings Bank</t>
  </si>
  <si>
    <t>www.secfedbank.com</t>
  </si>
  <si>
    <t>Iron Workers Savings Bank</t>
  </si>
  <si>
    <t>www.iwsb.com</t>
  </si>
  <si>
    <t>Evergreen Federal Bank</t>
  </si>
  <si>
    <t>OR</t>
  </si>
  <si>
    <t>www.evergreenfederal.bank</t>
  </si>
  <si>
    <t>First Federal Savings Bank</t>
  </si>
  <si>
    <t>ffsbweb.com</t>
  </si>
  <si>
    <t>Security Savings Bank</t>
  </si>
  <si>
    <t>http://www.securitysavings.com</t>
  </si>
  <si>
    <t>Carthage Savings and Loan, National Association</t>
  </si>
  <si>
    <t>carthagesavings.com</t>
  </si>
  <si>
    <t>www.amoryfederal.com</t>
  </si>
  <si>
    <t>Ladysmith Federal Savings and Loan Association</t>
  </si>
  <si>
    <t>www.ladysmithfederal.com</t>
  </si>
  <si>
    <t>Liberty Bank for Savings</t>
  </si>
  <si>
    <t>libertybank.com</t>
  </si>
  <si>
    <t>Bedford Federal Savings Bank</t>
  </si>
  <si>
    <t>www.bedfed.com</t>
  </si>
  <si>
    <t>Hancock County Savings Bank, F.S.B.</t>
  </si>
  <si>
    <t>www.hcsbank.com</t>
  </si>
  <si>
    <t>First Federal Bank of Kansas City</t>
  </si>
  <si>
    <t>www.ffbkc.com</t>
  </si>
  <si>
    <t>Tucumcari Federal Savings and Loan Association</t>
  </si>
  <si>
    <t>NM</t>
  </si>
  <si>
    <t>www.tucfed.com</t>
  </si>
  <si>
    <t>Tarboro Savings Bank, SSB</t>
  </si>
  <si>
    <t>www.tarborosavingsbank.com</t>
  </si>
  <si>
    <t>Del Norte Bank</t>
  </si>
  <si>
    <t>www.truelocalbank.com</t>
  </si>
  <si>
    <t>www.firstfedohio.com</t>
  </si>
  <si>
    <t>www.unionsavingsbank.com</t>
  </si>
  <si>
    <t>First Federal Savings and Loan Association of Van Wert</t>
  </si>
  <si>
    <t>www.1stfedvw.com</t>
  </si>
  <si>
    <t>First Federal Savings and Loan Association of Valdosta</t>
  </si>
  <si>
    <t>www.1stfederalvaldosta.com</t>
  </si>
  <si>
    <t>United Roosevelt Savings Bank</t>
  </si>
  <si>
    <t>ursb.bank</t>
  </si>
  <si>
    <t>New Carlisle Federal Savings Bank</t>
  </si>
  <si>
    <t>www.ncfsb.com</t>
  </si>
  <si>
    <t>Lawrenceburg Federal Bank</t>
  </si>
  <si>
    <t>TN</t>
  </si>
  <si>
    <t>lawrenceburgfederal.com</t>
  </si>
  <si>
    <t>Fox Valley Savings Bank</t>
  </si>
  <si>
    <t>www.fvsbank.com</t>
  </si>
  <si>
    <t>Dalhart Federal Savings &amp; Loan Association, SSB</t>
  </si>
  <si>
    <t>www.dalhartfederal.com</t>
  </si>
  <si>
    <t>Washington Savings Bank</t>
  </si>
  <si>
    <t>www.washingtonsavings.net</t>
  </si>
  <si>
    <t>County Savings Bank</t>
  </si>
  <si>
    <t>www.countysavingsbank.com</t>
  </si>
  <si>
    <t>Woodruff Federal Savings and Loan Association</t>
  </si>
  <si>
    <t>www.woodrufffederal.com</t>
  </si>
  <si>
    <t>Henderson Federal Savings Bank</t>
  </si>
  <si>
    <t>www.hendersonfederal.com</t>
  </si>
  <si>
    <t>Cumberland Federal Bank, FSB</t>
  </si>
  <si>
    <t>www.cumberlandfederal.com</t>
  </si>
  <si>
    <t>Prevail Bank</t>
  </si>
  <si>
    <t>www.prevail.bank</t>
  </si>
  <si>
    <t>www.firstfeddelta.bank</t>
  </si>
  <si>
    <t>Family Bank</t>
  </si>
  <si>
    <t>www.familybank.com</t>
  </si>
  <si>
    <t>Peru Federal Savings Bank</t>
  </si>
  <si>
    <t>www.perufederalsavings.com</t>
  </si>
  <si>
    <t>Worthington Federal Savings Bank, FSB</t>
  </si>
  <si>
    <t>www.worthingtonfederalsavings.com</t>
  </si>
  <si>
    <t>Compass Savings Bank</t>
  </si>
  <si>
    <t>www.compassbank.us</t>
  </si>
  <si>
    <t>North Side Federal Savings and Loan Association of Chicago</t>
  </si>
  <si>
    <t>www.northsidefederal.com</t>
  </si>
  <si>
    <t>Armstrong County Building and Loan Association</t>
  </si>
  <si>
    <t>www.acbla.com</t>
  </si>
  <si>
    <t>Home Federal Savings and Loan Association of Grand Island</t>
  </si>
  <si>
    <t>NE</t>
  </si>
  <si>
    <t>www.homefederalne.bank</t>
  </si>
  <si>
    <t>Kingstree Federal Savings and Loan Association</t>
  </si>
  <si>
    <t>www.kingstreefederal.com</t>
  </si>
  <si>
    <t>First Federal Savings and Loan Association of Lakewood</t>
  </si>
  <si>
    <t>www.ffl.bank</t>
  </si>
  <si>
    <t>senecasavings.com</t>
  </si>
  <si>
    <t>www.pioneerfed.com</t>
  </si>
  <si>
    <t>Washington Financial Bank</t>
  </si>
  <si>
    <t>www.washfin.bank</t>
  </si>
  <si>
    <t>Fidelity Federal Savings and Loan Association of Delaware</t>
  </si>
  <si>
    <t>www.fidfedsl.com</t>
  </si>
  <si>
    <t>www.dewittsavingsbank.com</t>
  </si>
  <si>
    <t>First Federal Bank &amp; Trust</t>
  </si>
  <si>
    <t>WY</t>
  </si>
  <si>
    <t>www.efirstfederal.bank</t>
  </si>
  <si>
    <t>www.hslc.bank</t>
  </si>
  <si>
    <t>Monroe Federal Savings and Loan Association</t>
  </si>
  <si>
    <t>www.monroefederal.com</t>
  </si>
  <si>
    <t>www.rosedale.bank</t>
  </si>
  <si>
    <t>First Mutual Bank, FSB</t>
  </si>
  <si>
    <t>www.firstmutual.bank</t>
  </si>
  <si>
    <t>First Federal Savings and Loan Association of McMinnville</t>
  </si>
  <si>
    <t>www.firstfedweb.com</t>
  </si>
  <si>
    <t>www.windsorfederal.com</t>
  </si>
  <si>
    <t>First Federal Savings and Loan Association of Bath</t>
  </si>
  <si>
    <t>www.firstfederalbath.com</t>
  </si>
  <si>
    <t>Big Horn Federal Savings Bank</t>
  </si>
  <si>
    <t>www.bighornfederal.com</t>
  </si>
  <si>
    <t>First Federal Savings and Loan Association of Central Illinois, S.B.</t>
  </si>
  <si>
    <t>www.1stfedci.com</t>
  </si>
  <si>
    <t>Great Midwest Bank, S.S.B.</t>
  </si>
  <si>
    <t>www.greatmidwestbank.com</t>
  </si>
  <si>
    <t>www.pcs.bank</t>
  </si>
  <si>
    <t>Nashville Savings Bank</t>
  </si>
  <si>
    <t>www.nashvillesavingsbk.com</t>
  </si>
  <si>
    <t>Home Federal Bank of Tennessee</t>
  </si>
  <si>
    <t>www.homefederalbanktn.com</t>
  </si>
  <si>
    <t>Martinsville First Savings Bank</t>
  </si>
  <si>
    <t>VA</t>
  </si>
  <si>
    <t>www.martinsvillefirst.bank</t>
  </si>
  <si>
    <t>KeySavings Bank</t>
  </si>
  <si>
    <t>www.keysavingsbank.com</t>
  </si>
  <si>
    <t>Lincoln FSB of Nebraska</t>
  </si>
  <si>
    <t>www.lincolnfed.com</t>
  </si>
  <si>
    <t>First Federal Savings Bank of Washington</t>
  </si>
  <si>
    <t>WWW.FIRSTFEDERALWASHINGTON.COM</t>
  </si>
  <si>
    <t>Aroostook County Federal Savings and Loan Association</t>
  </si>
  <si>
    <t>www.yourhomebank.com</t>
  </si>
  <si>
    <t>Marathon Bank</t>
  </si>
  <si>
    <t>WWW.MARATHONBANK.COM</t>
  </si>
  <si>
    <t>Southern Hills Community Bank</t>
  </si>
  <si>
    <t>www.southernhillscommunitybank.bank</t>
  </si>
  <si>
    <t>Vidalia Federal Savings Bank</t>
  </si>
  <si>
    <t>WWW.VIDFEDONLINE.COM</t>
  </si>
  <si>
    <t>Carrollton Federal Bank</t>
  </si>
  <si>
    <t>www.carrolltonfederal.com</t>
  </si>
  <si>
    <t>Lisle Savings Bank</t>
  </si>
  <si>
    <t>http://WWW.LSB.BANK</t>
  </si>
  <si>
    <t>First Savings Bank of Hegewisch</t>
  </si>
  <si>
    <t>www.fsbhegewisch.com</t>
  </si>
  <si>
    <t>Peoples Savings and Loan Company</t>
  </si>
  <si>
    <t>www.psalc.com</t>
  </si>
  <si>
    <t>Milford Federal Bank</t>
  </si>
  <si>
    <t>www.milfordfederal.com</t>
  </si>
  <si>
    <t>First Federal Savings and Loan Association of Lorain</t>
  </si>
  <si>
    <t>www.fflorain.bank</t>
  </si>
  <si>
    <t>Commonwealth Co-operative Bank</t>
  </si>
  <si>
    <t>www.commonwealthcoop.com</t>
  </si>
  <si>
    <t>Eaton Community Bank</t>
  </si>
  <si>
    <t>www.eaton.bank</t>
  </si>
  <si>
    <t>The Liberty Savings Association, FSA</t>
  </si>
  <si>
    <t>www.libertysavingsfsa.com</t>
  </si>
  <si>
    <t>Dearborn Federal Savings Bank</t>
  </si>
  <si>
    <t>www.mydfsb.com</t>
  </si>
  <si>
    <t>Home Bank SB</t>
  </si>
  <si>
    <t>www.homebanksb.com</t>
  </si>
  <si>
    <t>Elizabethton Federal Savings Bank</t>
  </si>
  <si>
    <t>www.elizfed.com</t>
  </si>
  <si>
    <t>Scottsburg Building and Loan Association</t>
  </si>
  <si>
    <t>www.sblaonline.com</t>
  </si>
  <si>
    <t>Union Savings and Loan Association</t>
  </si>
  <si>
    <t>http://www.uslabank.com</t>
  </si>
  <si>
    <t>First Federal Savings Bank of Kentucky</t>
  </si>
  <si>
    <t>ffsbky.bank</t>
  </si>
  <si>
    <t>Bogota Savings Bank</t>
  </si>
  <si>
    <t>http://www.bogotasavingsbank.com</t>
  </si>
  <si>
    <t>The Equitable Savings and Loan Company</t>
  </si>
  <si>
    <t>www.equitablesavings.com</t>
  </si>
  <si>
    <t>The Peoples Savings Bank</t>
  </si>
  <si>
    <t>www.thepeoplessavingsbank.com</t>
  </si>
  <si>
    <t>Mutual Savings Association</t>
  </si>
  <si>
    <t>www.msa.bank</t>
  </si>
  <si>
    <t>Phoenixville Federal Bank and Trust</t>
  </si>
  <si>
    <t>www.phoenixfed.com</t>
  </si>
  <si>
    <t>Third Federal Savings and Loan Association of Cleveland</t>
  </si>
  <si>
    <t>www.thirdfederal.com</t>
  </si>
  <si>
    <t>Haven Savings Bank</t>
  </si>
  <si>
    <t>www.havenbank.com</t>
  </si>
  <si>
    <t>Beardstown Savings s.b.</t>
  </si>
  <si>
    <t>www.beardstownsavings.com</t>
  </si>
  <si>
    <t>First Federal Savings and Loan Association of Greensburg</t>
  </si>
  <si>
    <t>www.ffsg.net</t>
  </si>
  <si>
    <t>Peoples Community Bank SB of Monticello, Indiana</t>
  </si>
  <si>
    <t>www.peoplesmonticello.com</t>
  </si>
  <si>
    <t>Schuyler Savings Bank</t>
  </si>
  <si>
    <t>www.schuylersavings.com</t>
  </si>
  <si>
    <t>Spencer Savings Bank, SLA</t>
  </si>
  <si>
    <t>www.spencersavings.com</t>
  </si>
  <si>
    <t>Mercer Savings Bank</t>
  </si>
  <si>
    <t>www.mercersavings.com</t>
  </si>
  <si>
    <t>Monroe Savings Bank</t>
  </si>
  <si>
    <t>www.monroesavings.com</t>
  </si>
  <si>
    <t>Oconee Federal Savings and Loan Association</t>
  </si>
  <si>
    <t>www.oconeefederal.com</t>
  </si>
  <si>
    <t>Reliance Savings Bank</t>
  </si>
  <si>
    <t>www.reliancebank.bank</t>
  </si>
  <si>
    <t>PennCrest Bank</t>
  </si>
  <si>
    <t>www.PennCrest.BANK</t>
  </si>
  <si>
    <t>Investment Savings Bank</t>
  </si>
  <si>
    <t>www.investmentsb.bank</t>
  </si>
  <si>
    <t>Boonville Federal Savings Bank</t>
  </si>
  <si>
    <t>www.boonville.bank</t>
  </si>
  <si>
    <t>Citizens Federal Savings Bank</t>
  </si>
  <si>
    <t>www.citizensfsb.bank</t>
  </si>
  <si>
    <t>Sewickley Savings Bank</t>
  </si>
  <si>
    <t>www.sewickleysavingsbank.com</t>
  </si>
  <si>
    <t>Hatboro Federal Savings, FA</t>
  </si>
  <si>
    <t>www.hatborofed.com</t>
  </si>
  <si>
    <t>Home Savings Bank of Wapakoneta</t>
  </si>
  <si>
    <t>www.homesavings-wapak.com</t>
  </si>
  <si>
    <t>Millville Savings Bank</t>
  </si>
  <si>
    <t>www.millvillesavings.com</t>
  </si>
  <si>
    <t>Cross County Savings Bank</t>
  </si>
  <si>
    <t>www.crosscounty.com</t>
  </si>
  <si>
    <t>Citizens Savings Bank</t>
  </si>
  <si>
    <t>https://www.citizenssb.com</t>
  </si>
  <si>
    <t>Maspeth Federal Savings and Loan Association</t>
  </si>
  <si>
    <t>www.maspethfederal.com</t>
  </si>
  <si>
    <t>East Wisconsin Savings Bank</t>
  </si>
  <si>
    <t>WWW.EASTWIS.BANK</t>
  </si>
  <si>
    <t>First Federal Savings Bank of Lincolnton</t>
  </si>
  <si>
    <t>www.ffsb-nc.com</t>
  </si>
  <si>
    <t>Abbeville Building &amp; Loan (A State-Chartered Savings Bank)</t>
  </si>
  <si>
    <t>www.abbemae.com</t>
  </si>
  <si>
    <t>The Bank of Bennington</t>
  </si>
  <si>
    <t>www.thebankofbennington.com</t>
  </si>
  <si>
    <t>Streator Home Savings Bank</t>
  </si>
  <si>
    <t>www.streatorhome.com</t>
  </si>
  <si>
    <t>First Savings and Loan Association</t>
  </si>
  <si>
    <t>www.firstsandl.net</t>
  </si>
  <si>
    <t>1st Bank of Sea Isle City</t>
  </si>
  <si>
    <t>www.1stbankseaisle.com</t>
  </si>
  <si>
    <t>Gunnison Savings and Loan Association</t>
  </si>
  <si>
    <t>www.gunnisonsl.com</t>
  </si>
  <si>
    <t>Tecumseh Federal Bank</t>
  </si>
  <si>
    <t>www.tecfedbank.com</t>
  </si>
  <si>
    <t>Geddes Federal Savings and Loan Association</t>
  </si>
  <si>
    <t>www.geddesfederal.com</t>
  </si>
  <si>
    <t>Penn Community Bank</t>
  </si>
  <si>
    <t>www.penncommunitybank.com</t>
  </si>
  <si>
    <t>Franklin Bank</t>
  </si>
  <si>
    <t>www.franklinbnk.com</t>
  </si>
  <si>
    <t>Century Savings Bank</t>
  </si>
  <si>
    <t>www.centurysb.com</t>
  </si>
  <si>
    <t>Massena Savings and Loan</t>
  </si>
  <si>
    <t>www.massenasavingsloan.com</t>
  </si>
  <si>
    <t>SSB Bank</t>
  </si>
  <si>
    <t>www.ssbpgh.com</t>
  </si>
  <si>
    <t>Morganton Savings Bank, S.S.B.</t>
  </si>
  <si>
    <t>www.morgantonsavings.com</t>
  </si>
  <si>
    <t>First Federal Bank of Louisiana</t>
  </si>
  <si>
    <t>www.ffbla.bank</t>
  </si>
  <si>
    <t>Rayne Building and Loan Association</t>
  </si>
  <si>
    <t>www.raynebuildingloan.com</t>
  </si>
  <si>
    <t>Manasquan Bank</t>
  </si>
  <si>
    <t>www.manasquanbank.com</t>
  </si>
  <si>
    <t>Crossbridge Community Bank</t>
  </si>
  <si>
    <t>www.Crossbridge.bank</t>
  </si>
  <si>
    <t>www.mylsbank.com</t>
  </si>
  <si>
    <t>Marquette Savings Bank</t>
  </si>
  <si>
    <t>www.marquettesavings.com</t>
  </si>
  <si>
    <t>Westmoreland Federal Savings and Loan Association</t>
  </si>
  <si>
    <t>www.wfsavings.com</t>
  </si>
  <si>
    <t>Mayville Savings Bank</t>
  </si>
  <si>
    <t>http://www.mayvillesavings.com</t>
  </si>
  <si>
    <t>Abbeville First Bank, SSB</t>
  </si>
  <si>
    <t>www.abbevillefirst.com</t>
  </si>
  <si>
    <t>Greenville Savings Bank</t>
  </si>
  <si>
    <t>www.greenvillesavings.com</t>
  </si>
  <si>
    <t>North County Savings Bank</t>
  </si>
  <si>
    <t>www.ncsbank.com</t>
  </si>
  <si>
    <t>First Shore Federal Savings and Loan Association</t>
  </si>
  <si>
    <t>www.firstshorefederal.com</t>
  </si>
  <si>
    <t>Peoples First Savings Bank</t>
  </si>
  <si>
    <t>www.peoplesfirstohio.com</t>
  </si>
  <si>
    <t>www.firstwithus.com</t>
  </si>
  <si>
    <t>Community Partners Savings Bank</t>
  </si>
  <si>
    <t>www.communitypartnerssb.com</t>
  </si>
  <si>
    <t>Bar Harbor Savings and Loan Association</t>
  </si>
  <si>
    <t>www.bhsla.com</t>
  </si>
  <si>
    <t>The Peoples Savings and Loan Company</t>
  </si>
  <si>
    <t>www.peoplessavingsonline.com</t>
  </si>
  <si>
    <t>First FSB of Mascoutah</t>
  </si>
  <si>
    <t>www.firstfederalmascoutah.com</t>
  </si>
  <si>
    <t>Gouverneur Savings and Loan Association</t>
  </si>
  <si>
    <t>www.gouverneurbank.com</t>
  </si>
  <si>
    <t>Spratt Savings Bank</t>
  </si>
  <si>
    <t>www.sprattsavingsbank.com</t>
  </si>
  <si>
    <t>Jarrettsville Federal Savings and Loan Association</t>
  </si>
  <si>
    <t>www.jarrettsvillefederal.com</t>
  </si>
  <si>
    <t>Blue Grass Federal Savings and Loan Association</t>
  </si>
  <si>
    <t>bluegrassfederal.bank</t>
  </si>
  <si>
    <t>citizens-savings.com</t>
  </si>
  <si>
    <t>Greeneville Federal Bank, FSB</t>
  </si>
  <si>
    <t>www.greenevillefederalbank.com</t>
  </si>
  <si>
    <t>LifeStore Bank</t>
  </si>
  <si>
    <t>www.golifestore.com</t>
  </si>
  <si>
    <t>Highland Federal Savings and Loan Association</t>
  </si>
  <si>
    <t>www.highlandfederal.com</t>
  </si>
  <si>
    <t>Jackson Savings Bank, SSB</t>
  </si>
  <si>
    <t>www.jacksonsavingsbank.com</t>
  </si>
  <si>
    <t>Homewood Federal Savings Bank</t>
  </si>
  <si>
    <t>www.homewoodfsb.com</t>
  </si>
  <si>
    <t>First Federal Bank</t>
  </si>
  <si>
    <t>FL</t>
  </si>
  <si>
    <t>www.ffbf.com</t>
  </si>
  <si>
    <t>West Plains Savings and Loan Association</t>
  </si>
  <si>
    <t>www.westplainssavingsandloan.com</t>
  </si>
  <si>
    <t>Hertford Savings Bank, SSB</t>
  </si>
  <si>
    <t>www.hertfordsavingsbank.com</t>
  </si>
  <si>
    <t>First Federal Savings and Loan Association of San Rafael</t>
  </si>
  <si>
    <t>CA</t>
  </si>
  <si>
    <t>www.ffsavings.com</t>
  </si>
  <si>
    <t>www.firstfederalmorehead.com</t>
  </si>
  <si>
    <t>1st Federal Savings Bank of SC, Inc.</t>
  </si>
  <si>
    <t>www.1stfederalofsc.com</t>
  </si>
  <si>
    <t>The Wilmington Savings Bank</t>
  </si>
  <si>
    <t>www.wilmingtonsavings.com</t>
  </si>
  <si>
    <t>Volunteer Federal Savings Bank</t>
  </si>
  <si>
    <t>www.volfed.com</t>
  </si>
  <si>
    <t>Home Savings Bank, FSB</t>
  </si>
  <si>
    <t>www.homesavingsbanknky.com</t>
  </si>
  <si>
    <t>Home Federal Savings and Loan Association</t>
  </si>
  <si>
    <t>www.homefedbamberg.com</t>
  </si>
  <si>
    <t>CBL State Savings Bank</t>
  </si>
  <si>
    <t>www.mycbl.bank</t>
  </si>
  <si>
    <t>Slovenian Savings and Loan Association of Franklin-Conemaugh</t>
  </si>
  <si>
    <t>sloveniansavings.com</t>
  </si>
  <si>
    <t>Dollar Bank, Federal Savings Bank</t>
  </si>
  <si>
    <t>www.dollar.bank</t>
  </si>
  <si>
    <t>www.bankwith-csb.com</t>
  </si>
  <si>
    <t>Miami Savings Bank</t>
  </si>
  <si>
    <t>www.miamisavings.bank</t>
  </si>
  <si>
    <t>Galion Building and Loan Bank</t>
  </si>
  <si>
    <t>www.gblbank.com</t>
  </si>
  <si>
    <t>Taylorsville Savings Bank, SSB</t>
  </si>
  <si>
    <t>www.taylorsvillesavings.com</t>
  </si>
  <si>
    <t>BayVanguard Bank</t>
  </si>
  <si>
    <t>www.bayvanguard.com</t>
  </si>
  <si>
    <t>Lee Bank</t>
  </si>
  <si>
    <t>WWW.LEEBANK.COM</t>
  </si>
  <si>
    <t>Tioga-Franklin Savings Bank</t>
  </si>
  <si>
    <t>www.tiogafranklin.com</t>
  </si>
  <si>
    <t>Lusitania Savings Bank</t>
  </si>
  <si>
    <t>www.lusitaniabank.com</t>
  </si>
  <si>
    <t>Greene County Commercial Bank</t>
  </si>
  <si>
    <t>Think Mutual Bank</t>
  </si>
  <si>
    <t>www.thinkbank.com</t>
  </si>
  <si>
    <t>Walden Mutual Bank</t>
  </si>
  <si>
    <t>www.waldenmutual.com</t>
  </si>
  <si>
    <t>Adams Community Bank</t>
  </si>
  <si>
    <t>www.adamscommunity.com</t>
  </si>
  <si>
    <t>Bluestone Bank</t>
  </si>
  <si>
    <t>www.bluestone.bank</t>
  </si>
  <si>
    <t>East Cambridge Savings Bank</t>
  </si>
  <si>
    <t>www.ecsb.com</t>
  </si>
  <si>
    <t>The Bank of Canton</t>
  </si>
  <si>
    <t>www.thebankofcanton.com</t>
  </si>
  <si>
    <t>Clinton Savings Bank</t>
  </si>
  <si>
    <t>www.clintonsavings.com</t>
  </si>
  <si>
    <t>Middlesex Savings Bank</t>
  </si>
  <si>
    <t>www.middlesexbank.com</t>
  </si>
  <si>
    <t>http://www.bankesb.com</t>
  </si>
  <si>
    <t>Martha's Vineyard Bank</t>
  </si>
  <si>
    <t>www.mvbank.com</t>
  </si>
  <si>
    <t>Eagle Bank</t>
  </si>
  <si>
    <t>www.bankeagle.com</t>
  </si>
  <si>
    <t>BayCoast Bank</t>
  </si>
  <si>
    <t>www.baycoast.bank</t>
  </si>
  <si>
    <t>Cape Ann Savings Bank</t>
  </si>
  <si>
    <t>capeannsavings.bank</t>
  </si>
  <si>
    <t>Greenfield Savings Bank</t>
  </si>
  <si>
    <t>greenfieldsavings.com</t>
  </si>
  <si>
    <t>Pentucket  Bank</t>
  </si>
  <si>
    <t>www.pentucketbank.com</t>
  </si>
  <si>
    <t>PeoplesBank</t>
  </si>
  <si>
    <t>www.bankatpeoples.com</t>
  </si>
  <si>
    <t>Avidia Bank</t>
  </si>
  <si>
    <t>www.avidiabank.com</t>
  </si>
  <si>
    <t>The Lowell Five Cent Savings Bank</t>
  </si>
  <si>
    <t>www.lowellfive.com</t>
  </si>
  <si>
    <t>www.washingtonsavings.com</t>
  </si>
  <si>
    <t>Marblehead Bank</t>
  </si>
  <si>
    <t>www.marblebank.com</t>
  </si>
  <si>
    <t>Main Street Bank</t>
  </si>
  <si>
    <t>www.bankmainstreet.com</t>
  </si>
  <si>
    <t>Monson Savings Bank</t>
  </si>
  <si>
    <t>www.monsonsavings.bank</t>
  </si>
  <si>
    <t>Institution for Savings in Newburyport and Its Vicinity</t>
  </si>
  <si>
    <t>www.institutionforsavings.com</t>
  </si>
  <si>
    <t>Newburyport Five Cents Savings Bank</t>
  </si>
  <si>
    <t>www.newburyportbank.com</t>
  </si>
  <si>
    <t>MountainOne Bank</t>
  </si>
  <si>
    <t>www.mountainone.com</t>
  </si>
  <si>
    <t>North Brookfield Savings Bank</t>
  </si>
  <si>
    <t>www.northbrookfieldsavingsbank.com</t>
  </si>
  <si>
    <t>North Easton Savings Bank</t>
  </si>
  <si>
    <t>www.northeastonsavingsbank.com</t>
  </si>
  <si>
    <t>Seamen's Bank</t>
  </si>
  <si>
    <t>seamensbank.com</t>
  </si>
  <si>
    <t>Cornerstone Bank</t>
  </si>
  <si>
    <t>www.cornerstonebank.com</t>
  </si>
  <si>
    <t>UniBank for Savings</t>
  </si>
  <si>
    <t>www.unibank.com</t>
  </si>
  <si>
    <t>The Savings Bank</t>
  </si>
  <si>
    <t>www.tsbdirect.bank</t>
  </si>
  <si>
    <t>Webster Five Cents Savings Bank</t>
  </si>
  <si>
    <t>www.web5.com</t>
  </si>
  <si>
    <t>South Shore Bank</t>
  </si>
  <si>
    <t>www.southshorebank.com</t>
  </si>
  <si>
    <t>Winchester Savings Bank</t>
  </si>
  <si>
    <t>www.winchestersavings.com</t>
  </si>
  <si>
    <t>Bay State Savings Bank</t>
  </si>
  <si>
    <t>baystatesavingsbank.com</t>
  </si>
  <si>
    <t>Assets in app ($000, 2023)</t>
  </si>
  <si>
    <t>FDIC assets ($000, 3/31/2026)</t>
  </si>
  <si>
    <t>Change</t>
  </si>
  <si>
    <t>The Glen Burnie Mutual Savings Bank</t>
  </si>
  <si>
    <t>Black Mountain Savings Bank, SSB</t>
  </si>
  <si>
    <t>Central Savings, f.s.b.</t>
  </si>
  <si>
    <t>Kentland Federal Savings and Loan Association</t>
  </si>
  <si>
    <t>First Federal Savings &amp; Loan Association of Ravenswood</t>
  </si>
  <si>
    <t>Pee Dee Federal Savings Bank</t>
  </si>
  <si>
    <t>Huntingdon Savings Bank</t>
  </si>
  <si>
    <t>Milford Building and Loan Association</t>
  </si>
  <si>
    <t>Farmers Building and Savings Bank</t>
  </si>
  <si>
    <t>City in your list</t>
  </si>
  <si>
    <t>FDIC city</t>
  </si>
  <si>
    <t>ST. JOHNSBURY</t>
  </si>
  <si>
    <t>Saint Johnsbury</t>
  </si>
  <si>
    <t>BIDDEFORD</t>
  </si>
  <si>
    <t>Portland</t>
  </si>
  <si>
    <t>NORWICH</t>
  </si>
  <si>
    <t>Groton</t>
  </si>
  <si>
    <t>ORLEANS</t>
  </si>
  <si>
    <t>Hyannis</t>
  </si>
  <si>
    <t>AUBURNDALE</t>
  </si>
  <si>
    <t>Newton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</si>
</sst>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sz val="13"/>
      <name val="Arial"/>
    </font>
    <font>
      <i/>
      <color rgb="FF64748B"/>
      <sz val="9"/>
      <name val="Arial"/>
    </font>
    <font>
      <sz val="10"/>
      <name val="Arial"/>
    </font>
    <font>
      <b/>
      <sz val="10"/>
      <name val="Arial"/>
    </font>
    <font>
      <b/>
      <color rgb="FFFFFFFF"/>
      <sz val="10"/>
      <name val="Arial"/>
    </font>
    <font>
      <b/>
      <color rgb="FFC00000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0" borderId="0" xfId="0" applyFont="1"/>
    <xf numFmtId="3" fontId="0" fillId="0" borderId="0" xfId="0" applyNumberFormat="1"/>
    <xf numFmtId="164" fontId="0" fillId="0" borderId="0" xfId="0" applyNumberFormat="1"/>
    <xf numFmtId="3" fontId="5" fillId="2" borderId="0" xfId="0" applyNumberFormat="1" applyFont="1" applyFill="1"/>
    <xf numFmtId="164" fontId="5" fillId="2" borderId="0" xfId="0" applyNumberFormat="1" applyFont="1" applyFill="1"/>
    <xf numFmtId="3" fontId="3" fillId="0" borderId="0" xfId="0" applyNumberFormat="1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46" customWidth="1"/>
    <col min="2" max="2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1</v>
      </c>
    </row>
    <row r="3" spans="1:2" s="3" customFormat="1" x14ac:dyDescent="0.25">
      <c r="A3" s="3" t="s">
        <v>1</v>
      </c>
      <c r="B3" s="3" t="s">
        <v>1</v>
      </c>
    </row>
    <row r="4" spans="1:2" s="3" customFormat="1" x14ac:dyDescent="0.25">
      <c r="A4" s="3" t="s">
        <v>3</v>
      </c>
      <c r="B4" s="3">
        <v>426</v>
      </c>
    </row>
    <row r="5" spans="1:2" s="3" customFormat="1" x14ac:dyDescent="0.25">
      <c r="A5" s="3" t="s">
        <v>4</v>
      </c>
      <c r="B5" s="3">
        <f>COUNTA('Closed or merged'!A:A)-1</f>
      </c>
    </row>
    <row r="6" spans="1:2" s="3" customFormat="1" x14ac:dyDescent="0.25">
      <c r="A6" s="3" t="s">
        <v>5</v>
      </c>
      <c r="B6" s="3">
        <f>COUNTA('Name changes'!A:A)-1</f>
      </c>
    </row>
    <row r="7" spans="1:2" s="3" customFormat="1" x14ac:dyDescent="0.25">
      <c r="A7" s="3" t="s">
        <v>6</v>
      </c>
      <c r="B7" s="3">
        <f>COUNTA(Websites!A:A)-1</f>
      </c>
    </row>
    <row r="8" spans="1:2" s="3" customFormat="1" x14ac:dyDescent="0.25">
      <c r="A8" s="3" t="s">
        <v>7</v>
      </c>
      <c r="B8" s="3">
        <f>COUNTIF(Websites!E:E,"NO")</f>
      </c>
    </row>
    <row r="9" spans="1:2" s="3" customFormat="1" x14ac:dyDescent="0.25">
      <c r="A9" s="3" t="s">
        <v>8</v>
      </c>
      <c r="B9" s="3">
        <f>COUNTA(Assets!A:A)-1</f>
      </c>
    </row>
    <row r="10" spans="1:2" s="3" customFormat="1" x14ac:dyDescent="0.25">
      <c r="A10" s="3" t="s">
        <v>1</v>
      </c>
      <c r="B10" s="3" t="s">
        <v>1</v>
      </c>
    </row>
    <row r="11" spans="1:2" s="4" customFormat="1" x14ac:dyDescent="0.25">
      <c r="A11" s="4" t="s">
        <v>9</v>
      </c>
      <c r="B11" s="4" t="s">
        <v>1</v>
      </c>
    </row>
    <row r="12" spans="1:2" s="3" customFormat="1" x14ac:dyDescent="0.25">
      <c r="A12" s="3" t="s">
        <v>10</v>
      </c>
      <c r="B12" s="3" t="s">
        <v>1</v>
      </c>
    </row>
    <row r="13" spans="1:2" s="3" customFormat="1" x14ac:dyDescent="0.25">
      <c r="A13" s="3" t="s">
        <v>11</v>
      </c>
      <c r="B13" s="3" t="s">
        <v>1</v>
      </c>
    </row>
    <row r="14" spans="1:2" s="3" customFormat="1" x14ac:dyDescent="0.25">
      <c r="A14" s="3" t="s">
        <v>12</v>
      </c>
      <c r="B14" s="3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E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42" customWidth="1"/>
    <col min="3" max="3" width="7" customWidth="1"/>
    <col min="4" max="4" width="26" customWidth="1"/>
    <col min="5" max="5" width="52" customWidth="1"/>
  </cols>
  <sheetData>
    <row r="1" ht="18" customHeight="1" spans="1:5" s="5" customFormat="1" x14ac:dyDescent="0.25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</row>
    <row r="2" spans="1:5" s="3" customFormat="1" x14ac:dyDescent="0.25">
      <c r="A2" s="3">
        <v>32306</v>
      </c>
      <c r="B2" s="3" t="s">
        <v>18</v>
      </c>
      <c r="C2" s="3" t="s">
        <v>19</v>
      </c>
      <c r="D2" s="3" t="s">
        <v>20</v>
      </c>
      <c r="E2" s="3" t="s">
        <v>21</v>
      </c>
    </row>
    <row r="3" spans="1:5" s="3" customFormat="1" x14ac:dyDescent="0.25">
      <c r="A3" s="3">
        <v>90146</v>
      </c>
      <c r="B3" s="3" t="s">
        <v>22</v>
      </c>
      <c r="C3" s="3" t="s">
        <v>23</v>
      </c>
      <c r="D3" s="3" t="s">
        <v>24</v>
      </c>
      <c r="E3" s="3" t="s">
        <v>21</v>
      </c>
    </row>
    <row r="4" spans="1:5" s="3" customFormat="1" x14ac:dyDescent="0.25">
      <c r="A4" s="3">
        <v>28481</v>
      </c>
      <c r="B4" s="3" t="s">
        <v>25</v>
      </c>
      <c r="C4" s="3" t="s">
        <v>23</v>
      </c>
      <c r="D4" s="3" t="s">
        <v>26</v>
      </c>
      <c r="E4" s="3" t="s">
        <v>21</v>
      </c>
    </row>
    <row r="5" spans="1:5" s="3" customFormat="1" x14ac:dyDescent="0.25">
      <c r="A5" s="3">
        <v>30492</v>
      </c>
      <c r="B5" s="3" t="s">
        <v>27</v>
      </c>
      <c r="C5" s="3" t="s">
        <v>28</v>
      </c>
      <c r="D5" s="3" t="s">
        <v>29</v>
      </c>
      <c r="E5" s="3" t="s">
        <v>21</v>
      </c>
    </row>
    <row r="6" spans="1:5" s="3" customFormat="1" x14ac:dyDescent="0.25">
      <c r="A6" s="3">
        <v>28167</v>
      </c>
      <c r="B6" s="3" t="s">
        <v>30</v>
      </c>
      <c r="C6" s="3" t="s">
        <v>31</v>
      </c>
      <c r="D6" s="3" t="s">
        <v>32</v>
      </c>
      <c r="E6" s="3" t="s">
        <v>21</v>
      </c>
    </row>
    <row r="7" spans="1:5" s="3" customFormat="1" x14ac:dyDescent="0.25">
      <c r="A7" s="3">
        <v>26516</v>
      </c>
      <c r="B7" s="3" t="s">
        <v>33</v>
      </c>
      <c r="C7" s="3" t="s">
        <v>23</v>
      </c>
      <c r="D7" s="3" t="s">
        <v>34</v>
      </c>
      <c r="E7" s="3" t="s">
        <v>21</v>
      </c>
    </row>
    <row r="8" spans="1:5" s="3" customFormat="1" x14ac:dyDescent="0.25">
      <c r="A8" s="3">
        <v>29875</v>
      </c>
      <c r="B8" s="3" t="s">
        <v>35</v>
      </c>
      <c r="C8" s="3" t="s">
        <v>36</v>
      </c>
      <c r="D8" s="3" t="s">
        <v>37</v>
      </c>
      <c r="E8" s="3" t="s">
        <v>21</v>
      </c>
    </row>
    <row r="9" spans="1:5" s="3" customFormat="1" x14ac:dyDescent="0.25">
      <c r="A9" s="3">
        <v>28611</v>
      </c>
      <c r="B9" s="3" t="s">
        <v>38</v>
      </c>
      <c r="C9" s="3" t="s">
        <v>39</v>
      </c>
      <c r="D9" s="3" t="s">
        <v>40</v>
      </c>
      <c r="E9" s="3" t="s">
        <v>21</v>
      </c>
    </row>
    <row r="10" spans="1:5" s="3" customFormat="1" x14ac:dyDescent="0.25">
      <c r="A10" s="3">
        <v>17748</v>
      </c>
      <c r="B10" s="3" t="s">
        <v>41</v>
      </c>
      <c r="C10" s="3" t="s">
        <v>42</v>
      </c>
      <c r="D10" s="3" t="s">
        <v>43</v>
      </c>
      <c r="E10" s="3" t="s">
        <v>21</v>
      </c>
    </row>
    <row r="11" spans="1:5" s="3" customFormat="1" x14ac:dyDescent="0.25">
      <c r="A11" s="3">
        <v>29986</v>
      </c>
      <c r="B11" s="3" t="s">
        <v>44</v>
      </c>
      <c r="C11" s="3" t="s">
        <v>39</v>
      </c>
      <c r="D11" s="3" t="s">
        <v>45</v>
      </c>
      <c r="E11" s="3" t="s">
        <v>21</v>
      </c>
    </row>
    <row r="12" spans="1:5" s="3" customFormat="1" x14ac:dyDescent="0.25">
      <c r="A12" s="3">
        <v>30519</v>
      </c>
      <c r="B12" s="3" t="s">
        <v>46</v>
      </c>
      <c r="C12" s="3" t="s">
        <v>36</v>
      </c>
      <c r="D12" s="3" t="s">
        <v>47</v>
      </c>
      <c r="E12" s="3" t="s">
        <v>21</v>
      </c>
    </row>
    <row r="13" spans="1:5" s="3" customFormat="1" x14ac:dyDescent="0.25">
      <c r="A13" s="3">
        <v>57849</v>
      </c>
      <c r="B13" s="3" t="s">
        <v>48</v>
      </c>
      <c r="C13" s="3" t="s">
        <v>49</v>
      </c>
      <c r="D13" s="3" t="s">
        <v>50</v>
      </c>
      <c r="E13" s="3" t="s">
        <v>21</v>
      </c>
    </row>
    <row r="14" spans="1:5" s="3" customFormat="1" x14ac:dyDescent="0.25">
      <c r="A14" s="3">
        <v>26590</v>
      </c>
      <c r="B14" s="3" t="s">
        <v>51</v>
      </c>
      <c r="C14" s="3" t="s">
        <v>23</v>
      </c>
      <c r="D14" s="3" t="s">
        <v>52</v>
      </c>
      <c r="E14" s="3" t="s">
        <v>21</v>
      </c>
    </row>
    <row r="15" spans="1:5" s="3" customFormat="1" x14ac:dyDescent="0.25">
      <c r="A15" s="3">
        <v>29049</v>
      </c>
      <c r="B15" s="3" t="s">
        <v>53</v>
      </c>
      <c r="C15" s="3" t="s">
        <v>28</v>
      </c>
      <c r="D15" s="3" t="s">
        <v>54</v>
      </c>
      <c r="E15" s="3" t="s">
        <v>21</v>
      </c>
    </row>
    <row r="16" spans="1:5" s="3" customFormat="1" x14ac:dyDescent="0.25">
      <c r="A16" s="3">
        <v>29532</v>
      </c>
      <c r="B16" s="3" t="s">
        <v>55</v>
      </c>
      <c r="C16" s="3" t="s">
        <v>39</v>
      </c>
      <c r="D16" s="3" t="s">
        <v>56</v>
      </c>
      <c r="E16" s="3" t="s">
        <v>21</v>
      </c>
    </row>
    <row r="17" spans="1:5" s="3" customFormat="1" x14ac:dyDescent="0.25">
      <c r="A17" s="3">
        <v>29501</v>
      </c>
      <c r="B17" s="3" t="s">
        <v>57</v>
      </c>
      <c r="C17" s="3" t="s">
        <v>58</v>
      </c>
      <c r="D17" s="3" t="s">
        <v>59</v>
      </c>
      <c r="E17" s="3" t="s">
        <v>21</v>
      </c>
    </row>
    <row r="18" spans="1:5" s="3" customFormat="1" x14ac:dyDescent="0.25">
      <c r="A18" s="3">
        <v>29999</v>
      </c>
      <c r="B18" s="3" t="s">
        <v>60</v>
      </c>
      <c r="C18" s="3" t="s">
        <v>61</v>
      </c>
      <c r="D18" s="3" t="s">
        <v>62</v>
      </c>
      <c r="E18" s="3" t="s">
        <v>21</v>
      </c>
    </row>
    <row r="19" spans="1:5" s="3" customFormat="1" x14ac:dyDescent="0.25">
      <c r="A19" s="3">
        <v>27704</v>
      </c>
      <c r="B19" s="3" t="s">
        <v>63</v>
      </c>
      <c r="C19" s="3" t="s">
        <v>64</v>
      </c>
      <c r="D19" s="3" t="s">
        <v>65</v>
      </c>
      <c r="E19" s="3" t="s">
        <v>21</v>
      </c>
    </row>
    <row r="20" spans="1:5" s="3" customFormat="1" x14ac:dyDescent="0.25">
      <c r="A20" s="3">
        <v>28723</v>
      </c>
      <c r="B20" s="3" t="s">
        <v>66</v>
      </c>
      <c r="C20" s="3" t="s">
        <v>39</v>
      </c>
      <c r="D20" s="3" t="s">
        <v>67</v>
      </c>
      <c r="E20" s="3" t="s">
        <v>21</v>
      </c>
    </row>
    <row r="21" spans="1:5" s="3" customFormat="1" x14ac:dyDescent="0.25">
      <c r="A21" s="3">
        <v>29065</v>
      </c>
      <c r="B21" s="3" t="s">
        <v>68</v>
      </c>
      <c r="C21" s="3" t="s">
        <v>69</v>
      </c>
      <c r="D21" s="3" t="s">
        <v>70</v>
      </c>
      <c r="E21" s="3" t="s">
        <v>21</v>
      </c>
    </row>
    <row r="22" spans="1:5" s="3" customFormat="1" x14ac:dyDescent="0.25">
      <c r="A22" s="3">
        <v>29646</v>
      </c>
      <c r="B22" s="3" t="s">
        <v>71</v>
      </c>
      <c r="C22" s="3" t="s">
        <v>72</v>
      </c>
      <c r="D22" s="3" t="s">
        <v>73</v>
      </c>
      <c r="E22" s="3" t="s">
        <v>21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45309"/>
  </sheetPr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44" customWidth="1"/>
    <col min="4" max="4" width="7" customWidth="1"/>
  </cols>
  <sheetData>
    <row r="1" ht="18" customHeight="1" spans="1:4" s="5" customFormat="1" x14ac:dyDescent="0.25">
      <c r="A1" s="5" t="s">
        <v>13</v>
      </c>
      <c r="B1" s="5" t="s">
        <v>74</v>
      </c>
      <c r="C1" s="5" t="s">
        <v>75</v>
      </c>
      <c r="D1" s="5" t="s">
        <v>15</v>
      </c>
    </row>
    <row r="2" spans="1:4" s="3" customFormat="1" x14ac:dyDescent="0.25">
      <c r="A2" s="3">
        <v>15912</v>
      </c>
      <c r="B2" s="3" t="s">
        <v>76</v>
      </c>
      <c r="C2" s="3" t="s">
        <v>77</v>
      </c>
      <c r="D2" s="3" t="s">
        <v>31</v>
      </c>
    </row>
    <row r="3" spans="1:4" s="3" customFormat="1" x14ac:dyDescent="0.25">
      <c r="A3" s="3">
        <v>17262</v>
      </c>
      <c r="B3" s="3" t="s">
        <v>78</v>
      </c>
      <c r="C3" s="3" t="s">
        <v>79</v>
      </c>
      <c r="D3" s="3" t="s">
        <v>31</v>
      </c>
    </row>
    <row r="4" spans="1:4" s="3" customFormat="1" x14ac:dyDescent="0.25">
      <c r="A4" s="3">
        <v>18194</v>
      </c>
      <c r="B4" s="3" t="s">
        <v>80</v>
      </c>
      <c r="C4" s="3" t="s">
        <v>81</v>
      </c>
      <c r="D4" s="3" t="s">
        <v>31</v>
      </c>
    </row>
    <row r="5" spans="1:4" s="3" customFormat="1" x14ac:dyDescent="0.25">
      <c r="A5" s="3">
        <v>20741</v>
      </c>
      <c r="B5" s="3" t="s">
        <v>82</v>
      </c>
      <c r="C5" s="3" t="s">
        <v>83</v>
      </c>
      <c r="D5" s="3" t="s">
        <v>49</v>
      </c>
    </row>
    <row r="6" spans="1:4" s="3" customFormat="1" x14ac:dyDescent="0.25">
      <c r="A6" s="3">
        <v>26484</v>
      </c>
      <c r="B6" s="3" t="s">
        <v>84</v>
      </c>
      <c r="C6" s="3" t="s">
        <v>85</v>
      </c>
      <c r="D6" s="3" t="s">
        <v>23</v>
      </c>
    </row>
    <row r="7" spans="1:4" s="3" customFormat="1" x14ac:dyDescent="0.25">
      <c r="A7" s="3">
        <v>26517</v>
      </c>
      <c r="B7" s="3" t="s">
        <v>86</v>
      </c>
      <c r="C7" s="3" t="s">
        <v>87</v>
      </c>
      <c r="D7" s="3" t="s">
        <v>23</v>
      </c>
    </row>
    <row r="8" spans="1:4" s="3" customFormat="1" x14ac:dyDescent="0.25">
      <c r="A8" s="3">
        <v>26523</v>
      </c>
      <c r="B8" s="3" t="s">
        <v>88</v>
      </c>
      <c r="C8" s="3" t="s">
        <v>89</v>
      </c>
      <c r="D8" s="3" t="s">
        <v>23</v>
      </c>
    </row>
    <row r="9" spans="1:4" s="3" customFormat="1" x14ac:dyDescent="0.25">
      <c r="A9" s="3">
        <v>28266</v>
      </c>
      <c r="B9" s="3" t="s">
        <v>90</v>
      </c>
      <c r="C9" s="3" t="s">
        <v>91</v>
      </c>
      <c r="D9" s="3" t="s">
        <v>92</v>
      </c>
    </row>
    <row r="10" spans="1:4" s="3" customFormat="1" x14ac:dyDescent="0.25">
      <c r="A10" s="3">
        <v>28778</v>
      </c>
      <c r="B10" s="3" t="s">
        <v>93</v>
      </c>
      <c r="C10" s="3" t="s">
        <v>94</v>
      </c>
      <c r="D10" s="3" t="s">
        <v>36</v>
      </c>
    </row>
    <row r="11" spans="1:4" s="3" customFormat="1" x14ac:dyDescent="0.25">
      <c r="A11" s="3">
        <v>28780</v>
      </c>
      <c r="B11" s="3" t="s">
        <v>95</v>
      </c>
      <c r="C11" s="3" t="s">
        <v>96</v>
      </c>
      <c r="D11" s="3" t="s">
        <v>97</v>
      </c>
    </row>
    <row r="12" spans="1:4" s="3" customFormat="1" x14ac:dyDescent="0.25">
      <c r="A12" s="3">
        <v>28949</v>
      </c>
      <c r="B12" s="3" t="s">
        <v>98</v>
      </c>
      <c r="C12" s="3" t="s">
        <v>99</v>
      </c>
      <c r="D12" s="3" t="s">
        <v>72</v>
      </c>
    </row>
    <row r="13" spans="1:4" s="3" customFormat="1" x14ac:dyDescent="0.25">
      <c r="A13" s="3">
        <v>29496</v>
      </c>
      <c r="B13" s="3" t="s">
        <v>100</v>
      </c>
      <c r="C13" s="3" t="s">
        <v>101</v>
      </c>
      <c r="D13" s="3" t="s">
        <v>49</v>
      </c>
    </row>
    <row r="14" spans="1:4" s="3" customFormat="1" x14ac:dyDescent="0.25">
      <c r="A14" s="3">
        <v>29517</v>
      </c>
      <c r="B14" s="3" t="s">
        <v>102</v>
      </c>
      <c r="C14" s="3" t="s">
        <v>103</v>
      </c>
      <c r="D14" s="3" t="s">
        <v>104</v>
      </c>
    </row>
    <row r="15" spans="1:4" s="3" customFormat="1" x14ac:dyDescent="0.25">
      <c r="A15" s="3">
        <v>29535</v>
      </c>
      <c r="B15" s="3" t="s">
        <v>105</v>
      </c>
      <c r="C15" s="3" t="s">
        <v>106</v>
      </c>
      <c r="D15" s="3" t="s">
        <v>39</v>
      </c>
    </row>
    <row r="16" spans="1:4" s="3" customFormat="1" x14ac:dyDescent="0.25">
      <c r="A16" s="3">
        <v>29571</v>
      </c>
      <c r="B16" s="3" t="s">
        <v>107</v>
      </c>
      <c r="C16" s="3" t="s">
        <v>108</v>
      </c>
      <c r="D16" s="3" t="s">
        <v>19</v>
      </c>
    </row>
    <row r="17" spans="1:4" s="3" customFormat="1" x14ac:dyDescent="0.25">
      <c r="A17" s="3">
        <v>29613</v>
      </c>
      <c r="B17" s="3" t="s">
        <v>109</v>
      </c>
      <c r="C17" s="3" t="s">
        <v>110</v>
      </c>
      <c r="D17" s="3" t="s">
        <v>97</v>
      </c>
    </row>
    <row r="18" spans="1:4" s="3" customFormat="1" x14ac:dyDescent="0.25">
      <c r="A18" s="3">
        <v>29632</v>
      </c>
      <c r="B18" s="3" t="s">
        <v>111</v>
      </c>
      <c r="C18" s="3" t="s">
        <v>112</v>
      </c>
      <c r="D18" s="3" t="s">
        <v>31</v>
      </c>
    </row>
    <row r="19" spans="1:4" s="3" customFormat="1" x14ac:dyDescent="0.25">
      <c r="A19" s="3">
        <v>29676</v>
      </c>
      <c r="B19" s="3" t="s">
        <v>113</v>
      </c>
      <c r="C19" s="3" t="s">
        <v>114</v>
      </c>
      <c r="D19" s="3" t="s">
        <v>115</v>
      </c>
    </row>
    <row r="20" spans="1:4" s="3" customFormat="1" x14ac:dyDescent="0.25">
      <c r="A20" s="3">
        <v>30530</v>
      </c>
      <c r="B20" s="3" t="s">
        <v>116</v>
      </c>
      <c r="C20" s="3" t="s">
        <v>117</v>
      </c>
      <c r="D20" s="3" t="s">
        <v>49</v>
      </c>
    </row>
    <row r="21" spans="1:4" s="3" customFormat="1" x14ac:dyDescent="0.25">
      <c r="A21" s="3">
        <v>90188</v>
      </c>
      <c r="B21" s="3" t="s">
        <v>118</v>
      </c>
      <c r="C21" s="3" t="s">
        <v>119</v>
      </c>
      <c r="D21" s="3" t="s">
        <v>23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D4ED8"/>
  </sheetPr>
  <dimension ref="A1:E3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44" customWidth="1"/>
    <col min="3" max="3" width="7" customWidth="1"/>
    <col min="4" max="4" width="38" customWidth="1"/>
  </cols>
  <sheetData>
    <row r="1" ht="18" customHeight="1" spans="1:5" s="5" customFormat="1" x14ac:dyDescent="0.25">
      <c r="A1" s="5" t="s">
        <v>13</v>
      </c>
      <c r="B1" s="5" t="s">
        <v>120</v>
      </c>
      <c r="C1" s="5" t="s">
        <v>15</v>
      </c>
      <c r="D1" s="5" t="s">
        <v>121</v>
      </c>
      <c r="E1" s="5" t="s">
        <v>122</v>
      </c>
    </row>
    <row r="2" spans="1:5" s="3" customFormat="1" x14ac:dyDescent="0.25">
      <c r="A2" s="3">
        <v>15990</v>
      </c>
      <c r="B2" s="3" t="s">
        <v>123</v>
      </c>
      <c r="C2" s="3" t="s">
        <v>49</v>
      </c>
      <c r="D2" s="3" t="s">
        <v>124</v>
      </c>
      <c r="E2" s="6" t="s">
        <v>125</v>
      </c>
    </row>
    <row r="3" spans="1:5" s="3" customFormat="1" x14ac:dyDescent="0.25">
      <c r="A3" s="3">
        <v>17749</v>
      </c>
      <c r="B3" s="3" t="s">
        <v>126</v>
      </c>
      <c r="C3" s="3" t="s">
        <v>42</v>
      </c>
      <c r="D3" s="3" t="s">
        <v>127</v>
      </c>
      <c r="E3" s="6" t="s">
        <v>125</v>
      </c>
    </row>
    <row r="4" spans="1:5" s="3" customFormat="1" x14ac:dyDescent="0.25">
      <c r="A4" s="3">
        <v>18204</v>
      </c>
      <c r="B4" s="3" t="s">
        <v>128</v>
      </c>
      <c r="C4" s="3" t="s">
        <v>31</v>
      </c>
      <c r="D4" s="3" t="s">
        <v>129</v>
      </c>
      <c r="E4" s="6" t="s">
        <v>125</v>
      </c>
    </row>
    <row r="5" spans="1:5" s="3" customFormat="1" x14ac:dyDescent="0.25">
      <c r="A5" s="3">
        <v>27678</v>
      </c>
      <c r="B5" s="3" t="s">
        <v>130</v>
      </c>
      <c r="C5" s="3" t="s">
        <v>131</v>
      </c>
      <c r="D5" s="3" t="s">
        <v>132</v>
      </c>
      <c r="E5" s="6" t="s">
        <v>125</v>
      </c>
    </row>
    <row r="6" spans="1:5" s="3" customFormat="1" x14ac:dyDescent="0.25">
      <c r="A6" s="3">
        <v>27727</v>
      </c>
      <c r="B6" s="3" t="s">
        <v>133</v>
      </c>
      <c r="C6" s="3" t="s">
        <v>134</v>
      </c>
      <c r="D6" s="3" t="s">
        <v>135</v>
      </c>
      <c r="E6" s="6" t="s">
        <v>125</v>
      </c>
    </row>
    <row r="7" spans="1:5" s="3" customFormat="1" x14ac:dyDescent="0.25">
      <c r="A7" s="3">
        <v>28157</v>
      </c>
      <c r="B7" s="3" t="s">
        <v>136</v>
      </c>
      <c r="C7" s="3" t="s">
        <v>19</v>
      </c>
      <c r="D7" s="3" t="s">
        <v>137</v>
      </c>
      <c r="E7" s="6" t="s">
        <v>125</v>
      </c>
    </row>
    <row r="8" spans="1:5" s="3" customFormat="1" x14ac:dyDescent="0.25">
      <c r="A8" s="3">
        <v>28480</v>
      </c>
      <c r="B8" s="3" t="s">
        <v>138</v>
      </c>
      <c r="C8" s="3" t="s">
        <v>115</v>
      </c>
      <c r="D8" s="3" t="s">
        <v>139</v>
      </c>
      <c r="E8" s="6" t="s">
        <v>125</v>
      </c>
    </row>
    <row r="9" spans="1:5" s="3" customFormat="1" x14ac:dyDescent="0.25">
      <c r="A9" s="3">
        <v>28836</v>
      </c>
      <c r="B9" s="3" t="s">
        <v>140</v>
      </c>
      <c r="C9" s="3" t="s">
        <v>141</v>
      </c>
      <c r="D9" s="3" t="s">
        <v>142</v>
      </c>
      <c r="E9" s="6" t="s">
        <v>125</v>
      </c>
    </row>
    <row r="10" spans="1:5" s="3" customFormat="1" x14ac:dyDescent="0.25">
      <c r="A10" s="3">
        <v>29627</v>
      </c>
      <c r="B10" s="3" t="s">
        <v>143</v>
      </c>
      <c r="C10" s="3" t="s">
        <v>141</v>
      </c>
      <c r="D10" s="3" t="s">
        <v>144</v>
      </c>
      <c r="E10" s="6" t="s">
        <v>125</v>
      </c>
    </row>
    <row r="11" spans="1:5" s="3" customFormat="1" x14ac:dyDescent="0.25">
      <c r="A11" s="3">
        <v>29672</v>
      </c>
      <c r="B11" s="3" t="s">
        <v>145</v>
      </c>
      <c r="C11" s="3" t="s">
        <v>141</v>
      </c>
      <c r="D11" s="3" t="s">
        <v>146</v>
      </c>
      <c r="E11" s="6" t="s">
        <v>125</v>
      </c>
    </row>
    <row r="12" spans="1:5" s="3" customFormat="1" x14ac:dyDescent="0.25">
      <c r="A12" s="3">
        <v>31197</v>
      </c>
      <c r="B12" s="3" t="s">
        <v>71</v>
      </c>
      <c r="C12" s="3" t="s">
        <v>147</v>
      </c>
      <c r="D12" s="3" t="s">
        <v>148</v>
      </c>
      <c r="E12" s="6" t="s">
        <v>125</v>
      </c>
    </row>
    <row r="13" spans="1:5" s="3" customFormat="1" x14ac:dyDescent="0.25">
      <c r="A13" s="3">
        <v>12013</v>
      </c>
      <c r="B13" s="3" t="s">
        <v>149</v>
      </c>
      <c r="C13" s="3" t="s">
        <v>36</v>
      </c>
      <c r="D13" s="3" t="s">
        <v>150</v>
      </c>
      <c r="E13" s="3" t="s">
        <v>151</v>
      </c>
    </row>
    <row r="14" spans="1:5" s="3" customFormat="1" x14ac:dyDescent="0.25">
      <c r="A14" s="3">
        <v>13063</v>
      </c>
      <c r="B14" s="3" t="s">
        <v>152</v>
      </c>
      <c r="C14" s="3" t="s">
        <v>42</v>
      </c>
      <c r="D14" s="3" t="s">
        <v>153</v>
      </c>
      <c r="E14" s="3" t="s">
        <v>151</v>
      </c>
    </row>
    <row r="15" spans="1:5" s="3" customFormat="1" x14ac:dyDescent="0.25">
      <c r="A15" s="3">
        <v>14134</v>
      </c>
      <c r="B15" s="3" t="s">
        <v>154</v>
      </c>
      <c r="C15" s="3" t="s">
        <v>155</v>
      </c>
      <c r="D15" s="3" t="s">
        <v>156</v>
      </c>
      <c r="E15" s="3" t="s">
        <v>151</v>
      </c>
    </row>
    <row r="16" spans="1:5" s="3" customFormat="1" x14ac:dyDescent="0.25">
      <c r="A16" s="3">
        <v>14136</v>
      </c>
      <c r="B16" s="3" t="s">
        <v>157</v>
      </c>
      <c r="C16" s="3" t="s">
        <v>155</v>
      </c>
      <c r="D16" s="3" t="s">
        <v>158</v>
      </c>
      <c r="E16" s="3" t="s">
        <v>151</v>
      </c>
    </row>
    <row r="17" spans="1:5" s="3" customFormat="1" x14ac:dyDescent="0.25">
      <c r="A17" s="3">
        <v>14140</v>
      </c>
      <c r="B17" s="3" t="s">
        <v>159</v>
      </c>
      <c r="C17" s="3" t="s">
        <v>155</v>
      </c>
      <c r="D17" s="3" t="s">
        <v>160</v>
      </c>
      <c r="E17" s="3" t="s">
        <v>151</v>
      </c>
    </row>
    <row r="18" spans="1:5" s="3" customFormat="1" x14ac:dyDescent="0.25">
      <c r="A18" s="3">
        <v>15912</v>
      </c>
      <c r="B18" s="3" t="s">
        <v>76</v>
      </c>
      <c r="C18" s="3" t="s">
        <v>31</v>
      </c>
      <c r="D18" s="3" t="s">
        <v>161</v>
      </c>
      <c r="E18" s="3" t="s">
        <v>151</v>
      </c>
    </row>
    <row r="19" spans="1:5" s="3" customFormat="1" x14ac:dyDescent="0.25">
      <c r="A19" s="3">
        <v>15966</v>
      </c>
      <c r="B19" s="3" t="s">
        <v>162</v>
      </c>
      <c r="C19" s="3" t="s">
        <v>49</v>
      </c>
      <c r="D19" s="3" t="s">
        <v>163</v>
      </c>
      <c r="E19" s="3" t="s">
        <v>151</v>
      </c>
    </row>
    <row r="20" spans="1:5" s="3" customFormat="1" x14ac:dyDescent="0.25">
      <c r="A20" s="3">
        <v>15969</v>
      </c>
      <c r="B20" s="3" t="s">
        <v>164</v>
      </c>
      <c r="C20" s="3" t="s">
        <v>49</v>
      </c>
      <c r="D20" s="3" t="s">
        <v>165</v>
      </c>
      <c r="E20" s="3" t="s">
        <v>151</v>
      </c>
    </row>
    <row r="21" spans="1:5" s="3" customFormat="1" x14ac:dyDescent="0.25">
      <c r="A21" s="3">
        <v>15970</v>
      </c>
      <c r="B21" s="3" t="s">
        <v>166</v>
      </c>
      <c r="C21" s="3" t="s">
        <v>49</v>
      </c>
      <c r="D21" s="3" t="s">
        <v>167</v>
      </c>
      <c r="E21" s="3" t="s">
        <v>151</v>
      </c>
    </row>
    <row r="22" spans="1:5" s="3" customFormat="1" x14ac:dyDescent="0.25">
      <c r="A22" s="3">
        <v>15987</v>
      </c>
      <c r="B22" s="3" t="s">
        <v>168</v>
      </c>
      <c r="C22" s="3" t="s">
        <v>49</v>
      </c>
      <c r="D22" s="3" t="s">
        <v>169</v>
      </c>
      <c r="E22" s="3" t="s">
        <v>151</v>
      </c>
    </row>
    <row r="23" spans="1:5" s="3" customFormat="1" x14ac:dyDescent="0.25">
      <c r="A23" s="3">
        <v>16026</v>
      </c>
      <c r="B23" s="3" t="s">
        <v>170</v>
      </c>
      <c r="C23" s="3" t="s">
        <v>49</v>
      </c>
      <c r="D23" s="3" t="s">
        <v>171</v>
      </c>
      <c r="E23" s="3" t="s">
        <v>151</v>
      </c>
    </row>
    <row r="24" spans="1:5" s="3" customFormat="1" x14ac:dyDescent="0.25">
      <c r="A24" s="3">
        <v>16030</v>
      </c>
      <c r="B24" s="3" t="s">
        <v>172</v>
      </c>
      <c r="C24" s="3" t="s">
        <v>49</v>
      </c>
      <c r="D24" s="3" t="s">
        <v>173</v>
      </c>
      <c r="E24" s="3" t="s">
        <v>151</v>
      </c>
    </row>
    <row r="25" spans="1:5" s="3" customFormat="1" x14ac:dyDescent="0.25">
      <c r="A25" s="3">
        <v>16032</v>
      </c>
      <c r="B25" s="3" t="s">
        <v>174</v>
      </c>
      <c r="C25" s="3" t="s">
        <v>49</v>
      </c>
      <c r="D25" s="3" t="s">
        <v>175</v>
      </c>
      <c r="E25" s="3" t="s">
        <v>151</v>
      </c>
    </row>
    <row r="26" spans="1:5" s="3" customFormat="1" x14ac:dyDescent="0.25">
      <c r="A26" s="3">
        <v>16039</v>
      </c>
      <c r="B26" s="3" t="s">
        <v>176</v>
      </c>
      <c r="C26" s="3" t="s">
        <v>49</v>
      </c>
      <c r="D26" s="3" t="s">
        <v>177</v>
      </c>
      <c r="E26" s="3" t="s">
        <v>151</v>
      </c>
    </row>
    <row r="27" spans="1:5" s="3" customFormat="1" x14ac:dyDescent="0.25">
      <c r="A27" s="3">
        <v>16101</v>
      </c>
      <c r="B27" s="3" t="s">
        <v>178</v>
      </c>
      <c r="C27" s="3" t="s">
        <v>31</v>
      </c>
      <c r="D27" s="3" t="s">
        <v>179</v>
      </c>
      <c r="E27" s="3" t="s">
        <v>151</v>
      </c>
    </row>
    <row r="28" spans="1:5" s="3" customFormat="1" x14ac:dyDescent="0.25">
      <c r="A28" s="3">
        <v>16636</v>
      </c>
      <c r="B28" s="3" t="s">
        <v>180</v>
      </c>
      <c r="C28" s="3" t="s">
        <v>31</v>
      </c>
      <c r="D28" s="3" t="s">
        <v>181</v>
      </c>
      <c r="E28" s="3" t="s">
        <v>151</v>
      </c>
    </row>
    <row r="29" spans="1:5" s="3" customFormat="1" x14ac:dyDescent="0.25">
      <c r="A29" s="3">
        <v>17115</v>
      </c>
      <c r="B29" s="3" t="s">
        <v>182</v>
      </c>
      <c r="C29" s="3" t="s">
        <v>42</v>
      </c>
      <c r="D29" s="3" t="s">
        <v>183</v>
      </c>
      <c r="E29" s="3" t="s">
        <v>151</v>
      </c>
    </row>
    <row r="30" spans="1:5" s="3" customFormat="1" x14ac:dyDescent="0.25">
      <c r="A30" s="3">
        <v>17123</v>
      </c>
      <c r="B30" s="3" t="s">
        <v>184</v>
      </c>
      <c r="C30" s="3" t="s">
        <v>185</v>
      </c>
      <c r="D30" s="3" t="s">
        <v>186</v>
      </c>
      <c r="E30" s="3" t="s">
        <v>151</v>
      </c>
    </row>
    <row r="31" spans="1:5" s="3" customFormat="1" x14ac:dyDescent="0.25">
      <c r="A31" s="3">
        <v>17180</v>
      </c>
      <c r="B31" s="3" t="s">
        <v>187</v>
      </c>
      <c r="C31" s="3" t="s">
        <v>188</v>
      </c>
      <c r="D31" s="3" t="s">
        <v>189</v>
      </c>
      <c r="E31" s="3" t="s">
        <v>151</v>
      </c>
    </row>
    <row r="32" spans="1:5" s="3" customFormat="1" x14ac:dyDescent="0.25">
      <c r="A32" s="3">
        <v>17262</v>
      </c>
      <c r="B32" s="3" t="s">
        <v>78</v>
      </c>
      <c r="C32" s="3" t="s">
        <v>31</v>
      </c>
      <c r="D32" s="3" t="s">
        <v>190</v>
      </c>
      <c r="E32" s="3" t="s">
        <v>151</v>
      </c>
    </row>
    <row r="33" spans="1:5" s="3" customFormat="1" x14ac:dyDescent="0.25">
      <c r="A33" s="3">
        <v>17443</v>
      </c>
      <c r="B33" s="3" t="s">
        <v>191</v>
      </c>
      <c r="C33" s="3" t="s">
        <v>188</v>
      </c>
      <c r="D33" s="3" t="s">
        <v>192</v>
      </c>
      <c r="E33" s="3" t="s">
        <v>151</v>
      </c>
    </row>
    <row r="34" spans="1:5" s="3" customFormat="1" x14ac:dyDescent="0.25">
      <c r="A34" s="3">
        <v>17658</v>
      </c>
      <c r="B34" s="3" t="s">
        <v>193</v>
      </c>
      <c r="C34" s="3" t="s">
        <v>42</v>
      </c>
      <c r="D34" s="3" t="s">
        <v>194</v>
      </c>
      <c r="E34" s="3" t="s">
        <v>151</v>
      </c>
    </row>
    <row r="35" spans="1:5" s="3" customFormat="1" x14ac:dyDescent="0.25">
      <c r="A35" s="3">
        <v>17736</v>
      </c>
      <c r="B35" s="3" t="s">
        <v>195</v>
      </c>
      <c r="C35" s="3" t="s">
        <v>196</v>
      </c>
      <c r="D35" s="3" t="s">
        <v>197</v>
      </c>
      <c r="E35" s="3" t="s">
        <v>151</v>
      </c>
    </row>
    <row r="36" spans="1:5" s="3" customFormat="1" x14ac:dyDescent="0.25">
      <c r="A36" s="3">
        <v>17741</v>
      </c>
      <c r="B36" s="3" t="s">
        <v>198</v>
      </c>
      <c r="C36" s="3" t="s">
        <v>42</v>
      </c>
      <c r="D36" s="3" t="s">
        <v>199</v>
      </c>
      <c r="E36" s="3" t="s">
        <v>151</v>
      </c>
    </row>
    <row r="37" spans="1:5" s="3" customFormat="1" x14ac:dyDescent="0.25">
      <c r="A37" s="3">
        <v>17743</v>
      </c>
      <c r="B37" s="3" t="s">
        <v>200</v>
      </c>
      <c r="C37" s="3" t="s">
        <v>42</v>
      </c>
      <c r="D37" s="3" t="s">
        <v>201</v>
      </c>
      <c r="E37" s="3" t="s">
        <v>151</v>
      </c>
    </row>
    <row r="38" spans="1:5" s="3" customFormat="1" x14ac:dyDescent="0.25">
      <c r="A38" s="3">
        <v>17751</v>
      </c>
      <c r="B38" s="3" t="s">
        <v>202</v>
      </c>
      <c r="C38" s="3" t="s">
        <v>42</v>
      </c>
      <c r="D38" s="3" t="s">
        <v>203</v>
      </c>
      <c r="E38" s="3" t="s">
        <v>151</v>
      </c>
    </row>
    <row r="39" spans="1:5" s="3" customFormat="1" x14ac:dyDescent="0.25">
      <c r="A39" s="3">
        <v>17764</v>
      </c>
      <c r="B39" s="3" t="s">
        <v>204</v>
      </c>
      <c r="C39" s="3" t="s">
        <v>205</v>
      </c>
      <c r="D39" s="3" t="s">
        <v>206</v>
      </c>
      <c r="E39" s="3" t="s">
        <v>151</v>
      </c>
    </row>
    <row r="40" spans="1:5" s="3" customFormat="1" x14ac:dyDescent="0.25">
      <c r="A40" s="3">
        <v>17797</v>
      </c>
      <c r="B40" s="3" t="s">
        <v>207</v>
      </c>
      <c r="C40" s="3" t="s">
        <v>23</v>
      </c>
      <c r="D40" s="3" t="s">
        <v>208</v>
      </c>
      <c r="E40" s="3" t="s">
        <v>151</v>
      </c>
    </row>
    <row r="41" spans="1:5" s="3" customFormat="1" x14ac:dyDescent="0.25">
      <c r="A41" s="3">
        <v>17870</v>
      </c>
      <c r="B41" s="3" t="s">
        <v>209</v>
      </c>
      <c r="C41" s="3" t="s">
        <v>23</v>
      </c>
      <c r="D41" s="3" t="s">
        <v>210</v>
      </c>
      <c r="E41" s="3" t="s">
        <v>151</v>
      </c>
    </row>
    <row r="42" spans="1:5" s="3" customFormat="1" x14ac:dyDescent="0.25">
      <c r="A42" s="3">
        <v>17897</v>
      </c>
      <c r="B42" s="3" t="s">
        <v>211</v>
      </c>
      <c r="C42" s="3" t="s">
        <v>42</v>
      </c>
      <c r="D42" s="3" t="s">
        <v>212</v>
      </c>
      <c r="E42" s="3" t="s">
        <v>151</v>
      </c>
    </row>
    <row r="43" spans="1:5" s="3" customFormat="1" x14ac:dyDescent="0.25">
      <c r="A43" s="3">
        <v>17943</v>
      </c>
      <c r="B43" s="3" t="s">
        <v>213</v>
      </c>
      <c r="C43" s="3" t="s">
        <v>31</v>
      </c>
      <c r="D43" s="3" t="s">
        <v>214</v>
      </c>
      <c r="E43" s="3" t="s">
        <v>151</v>
      </c>
    </row>
    <row r="44" spans="1:5" s="3" customFormat="1" x14ac:dyDescent="0.25">
      <c r="A44" s="3">
        <v>17951</v>
      </c>
      <c r="B44" s="3" t="s">
        <v>215</v>
      </c>
      <c r="C44" s="3" t="s">
        <v>188</v>
      </c>
      <c r="D44" s="3" t="s">
        <v>216</v>
      </c>
      <c r="E44" s="3" t="s">
        <v>151</v>
      </c>
    </row>
    <row r="45" spans="1:5" s="3" customFormat="1" x14ac:dyDescent="0.25">
      <c r="A45" s="3">
        <v>17960</v>
      </c>
      <c r="B45" s="3" t="s">
        <v>217</v>
      </c>
      <c r="C45" s="3" t="s">
        <v>188</v>
      </c>
      <c r="D45" s="3" t="s">
        <v>218</v>
      </c>
      <c r="E45" s="3" t="s">
        <v>151</v>
      </c>
    </row>
    <row r="46" spans="1:5" s="3" customFormat="1" x14ac:dyDescent="0.25">
      <c r="A46" s="3">
        <v>18012</v>
      </c>
      <c r="B46" s="3" t="s">
        <v>219</v>
      </c>
      <c r="C46" s="3" t="s">
        <v>188</v>
      </c>
      <c r="D46" s="3" t="s">
        <v>220</v>
      </c>
      <c r="E46" s="3" t="s">
        <v>151</v>
      </c>
    </row>
    <row r="47" spans="1:5" s="3" customFormat="1" x14ac:dyDescent="0.25">
      <c r="A47" s="3">
        <v>18013</v>
      </c>
      <c r="B47" s="3" t="s">
        <v>221</v>
      </c>
      <c r="C47" s="3" t="s">
        <v>188</v>
      </c>
      <c r="D47" s="3" t="s">
        <v>222</v>
      </c>
      <c r="E47" s="3" t="s">
        <v>151</v>
      </c>
    </row>
    <row r="48" spans="1:5" s="3" customFormat="1" x14ac:dyDescent="0.25">
      <c r="A48" s="3">
        <v>18028</v>
      </c>
      <c r="B48" s="3" t="s">
        <v>223</v>
      </c>
      <c r="C48" s="3" t="s">
        <v>188</v>
      </c>
      <c r="D48" s="3" t="s">
        <v>224</v>
      </c>
      <c r="E48" s="3" t="s">
        <v>151</v>
      </c>
    </row>
    <row r="49" spans="1:5" s="3" customFormat="1" x14ac:dyDescent="0.25">
      <c r="A49" s="3">
        <v>18030</v>
      </c>
      <c r="B49" s="3" t="s">
        <v>225</v>
      </c>
      <c r="C49" s="3" t="s">
        <v>188</v>
      </c>
      <c r="D49" s="3" t="s">
        <v>226</v>
      </c>
      <c r="E49" s="3" t="s">
        <v>151</v>
      </c>
    </row>
    <row r="50" spans="1:5" s="3" customFormat="1" x14ac:dyDescent="0.25">
      <c r="A50" s="3">
        <v>18038</v>
      </c>
      <c r="B50" s="3" t="s">
        <v>227</v>
      </c>
      <c r="C50" s="3" t="s">
        <v>188</v>
      </c>
      <c r="D50" s="3" t="s">
        <v>228</v>
      </c>
      <c r="E50" s="3" t="s">
        <v>151</v>
      </c>
    </row>
    <row r="51" spans="1:5" s="3" customFormat="1" x14ac:dyDescent="0.25">
      <c r="A51" s="3">
        <v>18129</v>
      </c>
      <c r="B51" s="3" t="s">
        <v>229</v>
      </c>
      <c r="C51" s="3" t="s">
        <v>205</v>
      </c>
      <c r="D51" s="3" t="s">
        <v>230</v>
      </c>
      <c r="E51" s="3" t="s">
        <v>151</v>
      </c>
    </row>
    <row r="52" spans="1:5" s="3" customFormat="1" x14ac:dyDescent="0.25">
      <c r="A52" s="3">
        <v>18190</v>
      </c>
      <c r="B52" s="3" t="s">
        <v>231</v>
      </c>
      <c r="C52" s="3" t="s">
        <v>31</v>
      </c>
      <c r="D52" s="3" t="s">
        <v>232</v>
      </c>
      <c r="E52" s="3" t="s">
        <v>151</v>
      </c>
    </row>
    <row r="53" spans="1:5" s="3" customFormat="1" x14ac:dyDescent="0.25">
      <c r="A53" s="3">
        <v>18194</v>
      </c>
      <c r="B53" s="3" t="s">
        <v>80</v>
      </c>
      <c r="C53" s="3" t="s">
        <v>31</v>
      </c>
      <c r="D53" s="3" t="s">
        <v>233</v>
      </c>
      <c r="E53" s="3" t="s">
        <v>151</v>
      </c>
    </row>
    <row r="54" spans="1:5" s="3" customFormat="1" x14ac:dyDescent="0.25">
      <c r="A54" s="3">
        <v>18198</v>
      </c>
      <c r="B54" s="3" t="s">
        <v>234</v>
      </c>
      <c r="C54" s="3" t="s">
        <v>31</v>
      </c>
      <c r="D54" s="3" t="s">
        <v>235</v>
      </c>
      <c r="E54" s="3" t="s">
        <v>151</v>
      </c>
    </row>
    <row r="55" spans="1:5" s="3" customFormat="1" x14ac:dyDescent="0.25">
      <c r="A55" s="3">
        <v>18199</v>
      </c>
      <c r="B55" s="3" t="s">
        <v>236</v>
      </c>
      <c r="C55" s="3" t="s">
        <v>31</v>
      </c>
      <c r="D55" s="3" t="s">
        <v>237</v>
      </c>
      <c r="E55" s="3" t="s">
        <v>151</v>
      </c>
    </row>
    <row r="56" spans="1:5" s="3" customFormat="1" x14ac:dyDescent="0.25">
      <c r="A56" s="3">
        <v>18200</v>
      </c>
      <c r="B56" s="3" t="s">
        <v>238</v>
      </c>
      <c r="C56" s="3" t="s">
        <v>31</v>
      </c>
      <c r="D56" s="3" t="s">
        <v>239</v>
      </c>
      <c r="E56" s="3" t="s">
        <v>151</v>
      </c>
    </row>
    <row r="57" spans="1:5" s="3" customFormat="1" x14ac:dyDescent="0.25">
      <c r="A57" s="3">
        <v>18213</v>
      </c>
      <c r="B57" s="3" t="s">
        <v>240</v>
      </c>
      <c r="C57" s="3" t="s">
        <v>31</v>
      </c>
      <c r="D57" s="3" t="s">
        <v>241</v>
      </c>
      <c r="E57" s="3" t="s">
        <v>151</v>
      </c>
    </row>
    <row r="58" spans="1:5" s="3" customFormat="1" x14ac:dyDescent="0.25">
      <c r="A58" s="3">
        <v>18227</v>
      </c>
      <c r="B58" s="3" t="s">
        <v>242</v>
      </c>
      <c r="C58" s="3" t="s">
        <v>31</v>
      </c>
      <c r="D58" s="3" t="s">
        <v>243</v>
      </c>
      <c r="E58" s="3" t="s">
        <v>151</v>
      </c>
    </row>
    <row r="59" spans="1:5" s="3" customFormat="1" x14ac:dyDescent="0.25">
      <c r="A59" s="3">
        <v>18229</v>
      </c>
      <c r="B59" s="3" t="s">
        <v>244</v>
      </c>
      <c r="C59" s="3" t="s">
        <v>31</v>
      </c>
      <c r="D59" s="3" t="s">
        <v>245</v>
      </c>
      <c r="E59" s="3" t="s">
        <v>151</v>
      </c>
    </row>
    <row r="60" spans="1:5" s="3" customFormat="1" x14ac:dyDescent="0.25">
      <c r="A60" s="3">
        <v>18237</v>
      </c>
      <c r="B60" s="3" t="s">
        <v>246</v>
      </c>
      <c r="C60" s="3" t="s">
        <v>31</v>
      </c>
      <c r="D60" s="3" t="s">
        <v>247</v>
      </c>
      <c r="E60" s="3" t="s">
        <v>151</v>
      </c>
    </row>
    <row r="61" spans="1:5" s="3" customFormat="1" x14ac:dyDescent="0.25">
      <c r="A61" s="3">
        <v>18238</v>
      </c>
      <c r="B61" s="3" t="s">
        <v>248</v>
      </c>
      <c r="C61" s="3" t="s">
        <v>31</v>
      </c>
      <c r="D61" s="3" t="s">
        <v>249</v>
      </c>
      <c r="E61" s="3" t="s">
        <v>151</v>
      </c>
    </row>
    <row r="62" spans="1:5" s="3" customFormat="1" x14ac:dyDescent="0.25">
      <c r="A62" s="3">
        <v>18258</v>
      </c>
      <c r="B62" s="3" t="s">
        <v>250</v>
      </c>
      <c r="C62" s="3" t="s">
        <v>31</v>
      </c>
      <c r="D62" s="3" t="s">
        <v>251</v>
      </c>
      <c r="E62" s="3" t="s">
        <v>151</v>
      </c>
    </row>
    <row r="63" spans="1:5" s="3" customFormat="1" x14ac:dyDescent="0.25">
      <c r="A63" s="3">
        <v>18408</v>
      </c>
      <c r="B63" s="3" t="s">
        <v>252</v>
      </c>
      <c r="C63" s="3" t="s">
        <v>42</v>
      </c>
      <c r="D63" s="3" t="s">
        <v>253</v>
      </c>
      <c r="E63" s="3" t="s">
        <v>151</v>
      </c>
    </row>
    <row r="64" spans="1:5" s="3" customFormat="1" x14ac:dyDescent="0.25">
      <c r="A64" s="3">
        <v>19525</v>
      </c>
      <c r="B64" s="3" t="s">
        <v>254</v>
      </c>
      <c r="C64" s="3" t="s">
        <v>255</v>
      </c>
      <c r="D64" s="3" t="s">
        <v>256</v>
      </c>
      <c r="E64" s="3" t="s">
        <v>151</v>
      </c>
    </row>
    <row r="65" spans="1:5" s="3" customFormat="1" x14ac:dyDescent="0.25">
      <c r="A65" s="3">
        <v>19531</v>
      </c>
      <c r="B65" s="3" t="s">
        <v>257</v>
      </c>
      <c r="C65" s="3" t="s">
        <v>42</v>
      </c>
      <c r="D65" s="3" t="s">
        <v>258</v>
      </c>
      <c r="E65" s="3" t="s">
        <v>151</v>
      </c>
    </row>
    <row r="66" spans="1:5" s="3" customFormat="1" x14ac:dyDescent="0.25">
      <c r="A66" s="3">
        <v>19532</v>
      </c>
      <c r="B66" s="3" t="s">
        <v>259</v>
      </c>
      <c r="C66" s="3" t="s">
        <v>42</v>
      </c>
      <c r="D66" s="3" t="s">
        <v>260</v>
      </c>
      <c r="E66" s="3" t="s">
        <v>151</v>
      </c>
    </row>
    <row r="67" spans="1:5" s="3" customFormat="1" x14ac:dyDescent="0.25">
      <c r="A67" s="3">
        <v>19836</v>
      </c>
      <c r="B67" s="3" t="s">
        <v>215</v>
      </c>
      <c r="C67" s="3" t="s">
        <v>42</v>
      </c>
      <c r="D67" s="3" t="s">
        <v>261</v>
      </c>
      <c r="E67" s="3" t="s">
        <v>151</v>
      </c>
    </row>
    <row r="68" spans="1:5" s="3" customFormat="1" x14ac:dyDescent="0.25">
      <c r="A68" s="3">
        <v>20741</v>
      </c>
      <c r="B68" s="3" t="s">
        <v>82</v>
      </c>
      <c r="C68" s="3" t="s">
        <v>49</v>
      </c>
      <c r="D68" s="3" t="s">
        <v>262</v>
      </c>
      <c r="E68" s="3" t="s">
        <v>151</v>
      </c>
    </row>
    <row r="69" spans="1:5" s="3" customFormat="1" x14ac:dyDescent="0.25">
      <c r="A69" s="3">
        <v>21591</v>
      </c>
      <c r="B69" s="3" t="s">
        <v>263</v>
      </c>
      <c r="C69" s="3" t="s">
        <v>49</v>
      </c>
      <c r="D69" s="3" t="s">
        <v>264</v>
      </c>
      <c r="E69" s="3" t="s">
        <v>151</v>
      </c>
    </row>
    <row r="70" spans="1:5" s="3" customFormat="1" x14ac:dyDescent="0.25">
      <c r="A70" s="3">
        <v>23286</v>
      </c>
      <c r="B70" s="3" t="s">
        <v>265</v>
      </c>
      <c r="C70" s="3" t="s">
        <v>23</v>
      </c>
      <c r="D70" s="3" t="s">
        <v>266</v>
      </c>
      <c r="E70" s="3" t="s">
        <v>151</v>
      </c>
    </row>
    <row r="71" spans="1:5" s="3" customFormat="1" x14ac:dyDescent="0.25">
      <c r="A71" s="3">
        <v>23287</v>
      </c>
      <c r="B71" s="3" t="s">
        <v>267</v>
      </c>
      <c r="C71" s="3" t="s">
        <v>23</v>
      </c>
      <c r="D71" s="3" t="s">
        <v>268</v>
      </c>
      <c r="E71" s="3" t="s">
        <v>151</v>
      </c>
    </row>
    <row r="72" spans="1:5" s="3" customFormat="1" x14ac:dyDescent="0.25">
      <c r="A72" s="3">
        <v>23293</v>
      </c>
      <c r="B72" s="3" t="s">
        <v>269</v>
      </c>
      <c r="C72" s="3" t="s">
        <v>23</v>
      </c>
      <c r="D72" s="3" t="s">
        <v>270</v>
      </c>
      <c r="E72" s="3" t="s">
        <v>151</v>
      </c>
    </row>
    <row r="73" spans="1:5" s="3" customFormat="1" x14ac:dyDescent="0.25">
      <c r="A73" s="3">
        <v>23296</v>
      </c>
      <c r="B73" s="3" t="s">
        <v>271</v>
      </c>
      <c r="C73" s="3" t="s">
        <v>23</v>
      </c>
      <c r="D73" s="3" t="s">
        <v>272</v>
      </c>
      <c r="E73" s="3" t="s">
        <v>151</v>
      </c>
    </row>
    <row r="74" spans="1:5" s="3" customFormat="1" x14ac:dyDescent="0.25">
      <c r="A74" s="3">
        <v>23298</v>
      </c>
      <c r="B74" s="3" t="s">
        <v>123</v>
      </c>
      <c r="C74" s="3" t="s">
        <v>23</v>
      </c>
      <c r="D74" s="3" t="s">
        <v>273</v>
      </c>
      <c r="E74" s="3" t="s">
        <v>151</v>
      </c>
    </row>
    <row r="75" spans="1:5" s="3" customFormat="1" x14ac:dyDescent="0.25">
      <c r="A75" s="3">
        <v>23620</v>
      </c>
      <c r="B75" s="3" t="s">
        <v>274</v>
      </c>
      <c r="C75" s="3" t="s">
        <v>23</v>
      </c>
      <c r="D75" s="3" t="s">
        <v>275</v>
      </c>
      <c r="E75" s="3" t="s">
        <v>151</v>
      </c>
    </row>
    <row r="76" spans="1:5" s="3" customFormat="1" x14ac:dyDescent="0.25">
      <c r="A76" s="3">
        <v>23622</v>
      </c>
      <c r="B76" s="3" t="s">
        <v>276</v>
      </c>
      <c r="C76" s="3" t="s">
        <v>23</v>
      </c>
      <c r="D76" s="3" t="s">
        <v>277</v>
      </c>
      <c r="E76" s="3" t="s">
        <v>151</v>
      </c>
    </row>
    <row r="77" spans="1:5" s="3" customFormat="1" x14ac:dyDescent="0.25">
      <c r="A77" s="3">
        <v>23992</v>
      </c>
      <c r="B77" s="3" t="s">
        <v>278</v>
      </c>
      <c r="C77" s="3" t="s">
        <v>23</v>
      </c>
      <c r="D77" s="3" t="s">
        <v>279</v>
      </c>
      <c r="E77" s="3" t="s">
        <v>151</v>
      </c>
    </row>
    <row r="78" spans="1:5" s="3" customFormat="1" x14ac:dyDescent="0.25">
      <c r="A78" s="3">
        <v>26336</v>
      </c>
      <c r="B78" s="3" t="s">
        <v>280</v>
      </c>
      <c r="C78" s="3" t="s">
        <v>23</v>
      </c>
      <c r="D78" s="3" t="s">
        <v>281</v>
      </c>
      <c r="E78" s="3" t="s">
        <v>151</v>
      </c>
    </row>
    <row r="79" spans="1:5" s="3" customFormat="1" x14ac:dyDescent="0.25">
      <c r="A79" s="3">
        <v>26393</v>
      </c>
      <c r="B79" s="3" t="s">
        <v>282</v>
      </c>
      <c r="C79" s="3" t="s">
        <v>23</v>
      </c>
      <c r="D79" s="3" t="s">
        <v>283</v>
      </c>
      <c r="E79" s="3" t="s">
        <v>151</v>
      </c>
    </row>
    <row r="80" spans="1:5" s="3" customFormat="1" x14ac:dyDescent="0.25">
      <c r="A80" s="3">
        <v>26395</v>
      </c>
      <c r="B80" s="3" t="s">
        <v>284</v>
      </c>
      <c r="C80" s="3" t="s">
        <v>23</v>
      </c>
      <c r="D80" s="3" t="s">
        <v>285</v>
      </c>
      <c r="E80" s="3" t="s">
        <v>151</v>
      </c>
    </row>
    <row r="81" spans="1:5" s="3" customFormat="1" x14ac:dyDescent="0.25">
      <c r="A81" s="3">
        <v>26397</v>
      </c>
      <c r="B81" s="3" t="s">
        <v>286</v>
      </c>
      <c r="C81" s="3" t="s">
        <v>23</v>
      </c>
      <c r="D81" s="3" t="s">
        <v>287</v>
      </c>
      <c r="E81" s="3" t="s">
        <v>151</v>
      </c>
    </row>
    <row r="82" spans="1:5" s="3" customFormat="1" x14ac:dyDescent="0.25">
      <c r="A82" s="3">
        <v>26411</v>
      </c>
      <c r="B82" s="3" t="s">
        <v>288</v>
      </c>
      <c r="C82" s="3" t="s">
        <v>23</v>
      </c>
      <c r="D82" s="3" t="s">
        <v>289</v>
      </c>
      <c r="E82" s="3" t="s">
        <v>151</v>
      </c>
    </row>
    <row r="83" spans="1:5" s="3" customFormat="1" x14ac:dyDescent="0.25">
      <c r="A83" s="3">
        <v>26450</v>
      </c>
      <c r="B83" s="3" t="s">
        <v>290</v>
      </c>
      <c r="C83" s="3" t="s">
        <v>23</v>
      </c>
      <c r="D83" s="3" t="s">
        <v>291</v>
      </c>
      <c r="E83" s="3" t="s">
        <v>151</v>
      </c>
    </row>
    <row r="84" spans="1:5" s="3" customFormat="1" x14ac:dyDescent="0.25">
      <c r="A84" s="3">
        <v>26451</v>
      </c>
      <c r="B84" s="3" t="s">
        <v>292</v>
      </c>
      <c r="C84" s="3" t="s">
        <v>23</v>
      </c>
      <c r="D84" s="3" t="s">
        <v>293</v>
      </c>
      <c r="E84" s="3" t="s">
        <v>151</v>
      </c>
    </row>
    <row r="85" spans="1:5" s="3" customFormat="1" x14ac:dyDescent="0.25">
      <c r="A85" s="3">
        <v>26455</v>
      </c>
      <c r="B85" s="3" t="s">
        <v>294</v>
      </c>
      <c r="C85" s="3" t="s">
        <v>23</v>
      </c>
      <c r="D85" s="3" t="s">
        <v>295</v>
      </c>
      <c r="E85" s="3" t="s">
        <v>151</v>
      </c>
    </row>
    <row r="86" spans="1:5" s="3" customFormat="1" x14ac:dyDescent="0.25">
      <c r="A86" s="3">
        <v>26483</v>
      </c>
      <c r="B86" s="3" t="s">
        <v>296</v>
      </c>
      <c r="C86" s="3" t="s">
        <v>23</v>
      </c>
      <c r="D86" s="3" t="s">
        <v>297</v>
      </c>
      <c r="E86" s="3" t="s">
        <v>151</v>
      </c>
    </row>
    <row r="87" spans="1:5" s="3" customFormat="1" x14ac:dyDescent="0.25">
      <c r="A87" s="3">
        <v>26484</v>
      </c>
      <c r="B87" s="3" t="s">
        <v>84</v>
      </c>
      <c r="C87" s="3" t="s">
        <v>23</v>
      </c>
      <c r="D87" s="3" t="s">
        <v>298</v>
      </c>
      <c r="E87" s="3" t="s">
        <v>151</v>
      </c>
    </row>
    <row r="88" spans="1:5" s="3" customFormat="1" x14ac:dyDescent="0.25">
      <c r="A88" s="3">
        <v>26487</v>
      </c>
      <c r="B88" s="3" t="s">
        <v>299</v>
      </c>
      <c r="C88" s="3" t="s">
        <v>23</v>
      </c>
      <c r="D88" s="3" t="s">
        <v>300</v>
      </c>
      <c r="E88" s="3" t="s">
        <v>151</v>
      </c>
    </row>
    <row r="89" spans="1:5" s="3" customFormat="1" x14ac:dyDescent="0.25">
      <c r="A89" s="3">
        <v>26512</v>
      </c>
      <c r="B89" s="3" t="s">
        <v>301</v>
      </c>
      <c r="C89" s="3" t="s">
        <v>23</v>
      </c>
      <c r="D89" s="3" t="s">
        <v>302</v>
      </c>
      <c r="E89" s="3" t="s">
        <v>151</v>
      </c>
    </row>
    <row r="90" spans="1:5" s="3" customFormat="1" x14ac:dyDescent="0.25">
      <c r="A90" s="3">
        <v>26513</v>
      </c>
      <c r="B90" s="3" t="s">
        <v>303</v>
      </c>
      <c r="C90" s="3" t="s">
        <v>23</v>
      </c>
      <c r="D90" s="3" t="s">
        <v>304</v>
      </c>
      <c r="E90" s="3" t="s">
        <v>151</v>
      </c>
    </row>
    <row r="91" spans="1:5" s="3" customFormat="1" x14ac:dyDescent="0.25">
      <c r="A91" s="3">
        <v>26517</v>
      </c>
      <c r="B91" s="3" t="s">
        <v>86</v>
      </c>
      <c r="C91" s="3" t="s">
        <v>23</v>
      </c>
      <c r="D91" s="3" t="s">
        <v>305</v>
      </c>
      <c r="E91" s="3" t="s">
        <v>151</v>
      </c>
    </row>
    <row r="92" spans="1:5" s="3" customFormat="1" x14ac:dyDescent="0.25">
      <c r="A92" s="3">
        <v>26523</v>
      </c>
      <c r="B92" s="3" t="s">
        <v>88</v>
      </c>
      <c r="C92" s="3" t="s">
        <v>23</v>
      </c>
      <c r="D92" s="3" t="s">
        <v>306</v>
      </c>
      <c r="E92" s="3" t="s">
        <v>151</v>
      </c>
    </row>
    <row r="93" spans="1:5" s="3" customFormat="1" x14ac:dyDescent="0.25">
      <c r="A93" s="3">
        <v>26536</v>
      </c>
      <c r="B93" s="3" t="s">
        <v>307</v>
      </c>
      <c r="C93" s="3" t="s">
        <v>23</v>
      </c>
      <c r="D93" s="3" t="s">
        <v>308</v>
      </c>
      <c r="E93" s="3" t="s">
        <v>151</v>
      </c>
    </row>
    <row r="94" spans="1:5" s="3" customFormat="1" x14ac:dyDescent="0.25">
      <c r="A94" s="3">
        <v>26554</v>
      </c>
      <c r="B94" s="3" t="s">
        <v>309</v>
      </c>
      <c r="C94" s="3" t="s">
        <v>23</v>
      </c>
      <c r="D94" s="3" t="s">
        <v>310</v>
      </c>
      <c r="E94" s="3" t="s">
        <v>151</v>
      </c>
    </row>
    <row r="95" spans="1:5" s="3" customFormat="1" x14ac:dyDescent="0.25">
      <c r="A95" s="3">
        <v>26555</v>
      </c>
      <c r="B95" s="3" t="s">
        <v>311</v>
      </c>
      <c r="C95" s="3" t="s">
        <v>23</v>
      </c>
      <c r="D95" s="3" t="s">
        <v>312</v>
      </c>
      <c r="E95" s="3" t="s">
        <v>151</v>
      </c>
    </row>
    <row r="96" spans="1:5" s="3" customFormat="1" x14ac:dyDescent="0.25">
      <c r="A96" s="3">
        <v>26559</v>
      </c>
      <c r="B96" s="3" t="s">
        <v>313</v>
      </c>
      <c r="C96" s="3" t="s">
        <v>23</v>
      </c>
      <c r="D96" s="3" t="s">
        <v>314</v>
      </c>
      <c r="E96" s="3" t="s">
        <v>151</v>
      </c>
    </row>
    <row r="97" spans="1:5" s="3" customFormat="1" x14ac:dyDescent="0.25">
      <c r="A97" s="3">
        <v>26567</v>
      </c>
      <c r="B97" s="3" t="s">
        <v>315</v>
      </c>
      <c r="C97" s="3" t="s">
        <v>23</v>
      </c>
      <c r="D97" s="3" t="s">
        <v>316</v>
      </c>
      <c r="E97" s="3" t="s">
        <v>151</v>
      </c>
    </row>
    <row r="98" spans="1:5" s="3" customFormat="1" x14ac:dyDescent="0.25">
      <c r="A98" s="3">
        <v>26576</v>
      </c>
      <c r="B98" s="3" t="s">
        <v>317</v>
      </c>
      <c r="C98" s="3" t="s">
        <v>23</v>
      </c>
      <c r="D98" s="3" t="s">
        <v>318</v>
      </c>
      <c r="E98" s="3" t="s">
        <v>151</v>
      </c>
    </row>
    <row r="99" spans="1:5" s="3" customFormat="1" x14ac:dyDescent="0.25">
      <c r="A99" s="3">
        <v>26591</v>
      </c>
      <c r="B99" s="3" t="s">
        <v>319</v>
      </c>
      <c r="C99" s="3" t="s">
        <v>23</v>
      </c>
      <c r="D99" s="3" t="s">
        <v>320</v>
      </c>
      <c r="E99" s="3" t="s">
        <v>151</v>
      </c>
    </row>
    <row r="100" spans="1:5" s="3" customFormat="1" x14ac:dyDescent="0.25">
      <c r="A100" s="3">
        <v>26602</v>
      </c>
      <c r="B100" s="3" t="s">
        <v>321</v>
      </c>
      <c r="C100" s="3" t="s">
        <v>23</v>
      </c>
      <c r="D100" s="3" t="s">
        <v>322</v>
      </c>
      <c r="E100" s="3" t="s">
        <v>151</v>
      </c>
    </row>
    <row r="101" spans="1:5" s="3" customFormat="1" x14ac:dyDescent="0.25">
      <c r="A101" s="3">
        <v>26620</v>
      </c>
      <c r="B101" s="3" t="s">
        <v>323</v>
      </c>
      <c r="C101" s="3" t="s">
        <v>23</v>
      </c>
      <c r="D101" s="3" t="s">
        <v>324</v>
      </c>
      <c r="E101" s="3" t="s">
        <v>151</v>
      </c>
    </row>
    <row r="102" spans="1:5" s="3" customFormat="1" x14ac:dyDescent="0.25">
      <c r="A102" s="3">
        <v>26634</v>
      </c>
      <c r="B102" s="3" t="s">
        <v>325</v>
      </c>
      <c r="C102" s="3" t="s">
        <v>23</v>
      </c>
      <c r="D102" s="3" t="s">
        <v>326</v>
      </c>
      <c r="E102" s="3" t="s">
        <v>151</v>
      </c>
    </row>
    <row r="103" spans="1:5" s="3" customFormat="1" x14ac:dyDescent="0.25">
      <c r="A103" s="3">
        <v>26922</v>
      </c>
      <c r="B103" s="3" t="s">
        <v>327</v>
      </c>
      <c r="C103" s="3" t="s">
        <v>23</v>
      </c>
      <c r="D103" s="3" t="s">
        <v>328</v>
      </c>
      <c r="E103" s="3" t="s">
        <v>151</v>
      </c>
    </row>
    <row r="104" spans="1:5" s="3" customFormat="1" x14ac:dyDescent="0.25">
      <c r="A104" s="3">
        <v>27238</v>
      </c>
      <c r="B104" s="3" t="s">
        <v>329</v>
      </c>
      <c r="C104" s="3" t="s">
        <v>23</v>
      </c>
      <c r="D104" s="3" t="s">
        <v>330</v>
      </c>
      <c r="E104" s="3" t="s">
        <v>151</v>
      </c>
    </row>
    <row r="105" spans="1:5" s="3" customFormat="1" x14ac:dyDescent="0.25">
      <c r="A105" s="3">
        <v>27269</v>
      </c>
      <c r="B105" s="3" t="s">
        <v>331</v>
      </c>
      <c r="C105" s="3" t="s">
        <v>23</v>
      </c>
      <c r="D105" s="3" t="s">
        <v>332</v>
      </c>
      <c r="E105" s="3" t="s">
        <v>151</v>
      </c>
    </row>
    <row r="106" spans="1:5" s="3" customFormat="1" x14ac:dyDescent="0.25">
      <c r="A106" s="3">
        <v>27385</v>
      </c>
      <c r="B106" s="3" t="s">
        <v>333</v>
      </c>
      <c r="C106" s="3" t="s">
        <v>141</v>
      </c>
      <c r="D106" s="3" t="s">
        <v>334</v>
      </c>
      <c r="E106" s="3" t="s">
        <v>151</v>
      </c>
    </row>
    <row r="107" spans="1:5" s="3" customFormat="1" x14ac:dyDescent="0.25">
      <c r="A107" s="3">
        <v>27619</v>
      </c>
      <c r="B107" s="3" t="s">
        <v>335</v>
      </c>
      <c r="C107" s="3" t="s">
        <v>64</v>
      </c>
      <c r="D107" s="3" t="s">
        <v>336</v>
      </c>
      <c r="E107" s="3" t="s">
        <v>151</v>
      </c>
    </row>
    <row r="108" spans="1:5" s="3" customFormat="1" x14ac:dyDescent="0.25">
      <c r="A108" s="3">
        <v>27643</v>
      </c>
      <c r="B108" s="3" t="s">
        <v>337</v>
      </c>
      <c r="C108" s="3" t="s">
        <v>19</v>
      </c>
      <c r="D108" s="3" t="s">
        <v>338</v>
      </c>
      <c r="E108" s="3" t="s">
        <v>151</v>
      </c>
    </row>
    <row r="109" spans="1:5" s="3" customFormat="1" x14ac:dyDescent="0.25">
      <c r="A109" s="3">
        <v>27664</v>
      </c>
      <c r="B109" s="3" t="s">
        <v>339</v>
      </c>
      <c r="C109" s="3" t="s">
        <v>39</v>
      </c>
      <c r="D109" s="3" t="s">
        <v>340</v>
      </c>
      <c r="E109" s="3" t="s">
        <v>151</v>
      </c>
    </row>
    <row r="110" spans="1:5" s="3" customFormat="1" x14ac:dyDescent="0.25">
      <c r="A110" s="3">
        <v>27686</v>
      </c>
      <c r="B110" s="3" t="s">
        <v>341</v>
      </c>
      <c r="C110" s="3" t="s">
        <v>141</v>
      </c>
      <c r="D110" s="3" t="s">
        <v>342</v>
      </c>
      <c r="E110" s="3" t="s">
        <v>151</v>
      </c>
    </row>
    <row r="111" spans="1:5" s="3" customFormat="1" x14ac:dyDescent="0.25">
      <c r="A111" s="3">
        <v>27697</v>
      </c>
      <c r="B111" s="3" t="s">
        <v>343</v>
      </c>
      <c r="C111" s="3" t="s">
        <v>344</v>
      </c>
      <c r="D111" s="3" t="s">
        <v>345</v>
      </c>
      <c r="E111" s="3" t="s">
        <v>151</v>
      </c>
    </row>
    <row r="112" spans="1:5" s="3" customFormat="1" x14ac:dyDescent="0.25">
      <c r="A112" s="3">
        <v>27711</v>
      </c>
      <c r="B112" s="3" t="s">
        <v>346</v>
      </c>
      <c r="C112" s="3" t="s">
        <v>141</v>
      </c>
      <c r="D112" s="3" t="s">
        <v>347</v>
      </c>
      <c r="E112" s="3" t="s">
        <v>151</v>
      </c>
    </row>
    <row r="113" spans="1:5" s="3" customFormat="1" x14ac:dyDescent="0.25">
      <c r="A113" s="3">
        <v>27716</v>
      </c>
      <c r="B113" s="3" t="s">
        <v>348</v>
      </c>
      <c r="C113" s="3" t="s">
        <v>344</v>
      </c>
      <c r="D113" s="3" t="s">
        <v>349</v>
      </c>
      <c r="E113" s="3" t="s">
        <v>151</v>
      </c>
    </row>
    <row r="114" spans="1:5" s="3" customFormat="1" x14ac:dyDescent="0.25">
      <c r="A114" s="3">
        <v>27723</v>
      </c>
      <c r="B114" s="3" t="s">
        <v>350</v>
      </c>
      <c r="C114" s="3" t="s">
        <v>39</v>
      </c>
      <c r="D114" s="3" t="s">
        <v>351</v>
      </c>
      <c r="E114" s="3" t="s">
        <v>151</v>
      </c>
    </row>
    <row r="115" spans="1:5" s="3" customFormat="1" x14ac:dyDescent="0.25">
      <c r="A115" s="3">
        <v>27752</v>
      </c>
      <c r="B115" s="3" t="s">
        <v>352</v>
      </c>
      <c r="C115" s="3" t="s">
        <v>344</v>
      </c>
      <c r="D115" s="3" t="s">
        <v>353</v>
      </c>
      <c r="E115" s="3" t="s">
        <v>151</v>
      </c>
    </row>
    <row r="116" spans="1:5" s="3" customFormat="1" x14ac:dyDescent="0.25">
      <c r="A116" s="3">
        <v>27763</v>
      </c>
      <c r="B116" s="3" t="s">
        <v>354</v>
      </c>
      <c r="C116" s="3" t="s">
        <v>141</v>
      </c>
      <c r="D116" s="3" t="s">
        <v>355</v>
      </c>
      <c r="E116" s="3" t="s">
        <v>151</v>
      </c>
    </row>
    <row r="117" spans="1:5" s="3" customFormat="1" x14ac:dyDescent="0.25">
      <c r="A117" s="3">
        <v>27767</v>
      </c>
      <c r="B117" s="3" t="s">
        <v>356</v>
      </c>
      <c r="C117" s="3" t="s">
        <v>39</v>
      </c>
      <c r="D117" s="3" t="s">
        <v>357</v>
      </c>
      <c r="E117" s="3" t="s">
        <v>151</v>
      </c>
    </row>
    <row r="118" spans="1:5" s="3" customFormat="1" x14ac:dyDescent="0.25">
      <c r="A118" s="3">
        <v>27774</v>
      </c>
      <c r="B118" s="3" t="s">
        <v>358</v>
      </c>
      <c r="C118" s="3" t="s">
        <v>359</v>
      </c>
      <c r="D118" s="3" t="s">
        <v>360</v>
      </c>
      <c r="E118" s="3" t="s">
        <v>151</v>
      </c>
    </row>
    <row r="119" spans="1:5" s="3" customFormat="1" x14ac:dyDescent="0.25">
      <c r="A119" s="3">
        <v>27806</v>
      </c>
      <c r="B119" s="3" t="s">
        <v>361</v>
      </c>
      <c r="C119" s="3" t="s">
        <v>19</v>
      </c>
      <c r="D119" s="3" t="s">
        <v>362</v>
      </c>
      <c r="E119" s="3" t="s">
        <v>151</v>
      </c>
    </row>
    <row r="120" spans="1:5" s="3" customFormat="1" x14ac:dyDescent="0.25">
      <c r="A120" s="3">
        <v>27824</v>
      </c>
      <c r="B120" s="3" t="s">
        <v>363</v>
      </c>
      <c r="C120" s="3" t="s">
        <v>188</v>
      </c>
      <c r="D120" s="3" t="s">
        <v>364</v>
      </c>
      <c r="E120" s="3" t="s">
        <v>151</v>
      </c>
    </row>
    <row r="121" spans="1:5" s="3" customFormat="1" x14ac:dyDescent="0.25">
      <c r="A121" s="3">
        <v>27841</v>
      </c>
      <c r="B121" s="3" t="s">
        <v>365</v>
      </c>
      <c r="C121" s="3" t="s">
        <v>147</v>
      </c>
      <c r="D121" s="3" t="s">
        <v>366</v>
      </c>
      <c r="E121" s="3" t="s">
        <v>151</v>
      </c>
    </row>
    <row r="122" spans="1:5" s="3" customFormat="1" x14ac:dyDescent="0.25">
      <c r="A122" s="3">
        <v>27884</v>
      </c>
      <c r="B122" s="3" t="s">
        <v>367</v>
      </c>
      <c r="C122" s="3" t="s">
        <v>368</v>
      </c>
      <c r="D122" s="3" t="s">
        <v>369</v>
      </c>
      <c r="E122" s="3" t="s">
        <v>151</v>
      </c>
    </row>
    <row r="123" spans="1:5" s="3" customFormat="1" x14ac:dyDescent="0.25">
      <c r="A123" s="3">
        <v>27898</v>
      </c>
      <c r="B123" s="3" t="s">
        <v>370</v>
      </c>
      <c r="C123" s="3" t="s">
        <v>371</v>
      </c>
      <c r="D123" s="3" t="s">
        <v>372</v>
      </c>
      <c r="E123" s="3" t="s">
        <v>151</v>
      </c>
    </row>
    <row r="124" spans="1:5" s="3" customFormat="1" x14ac:dyDescent="0.25">
      <c r="A124" s="3">
        <v>27943</v>
      </c>
      <c r="B124" s="3" t="s">
        <v>373</v>
      </c>
      <c r="C124" s="3" t="s">
        <v>141</v>
      </c>
      <c r="D124" s="3" t="s">
        <v>374</v>
      </c>
      <c r="E124" s="3" t="s">
        <v>151</v>
      </c>
    </row>
    <row r="125" spans="1:5" s="3" customFormat="1" x14ac:dyDescent="0.25">
      <c r="A125" s="3">
        <v>27965</v>
      </c>
      <c r="B125" s="3" t="s">
        <v>375</v>
      </c>
      <c r="C125" s="3" t="s">
        <v>19</v>
      </c>
      <c r="D125" s="3" t="s">
        <v>376</v>
      </c>
      <c r="E125" s="3" t="s">
        <v>151</v>
      </c>
    </row>
    <row r="126" spans="1:5" s="3" customFormat="1" x14ac:dyDescent="0.25">
      <c r="A126" s="3">
        <v>28035</v>
      </c>
      <c r="B126" s="3" t="s">
        <v>377</v>
      </c>
      <c r="C126" s="3" t="s">
        <v>64</v>
      </c>
      <c r="D126" s="3" t="s">
        <v>378</v>
      </c>
      <c r="E126" s="3" t="s">
        <v>151</v>
      </c>
    </row>
    <row r="127" spans="1:5" s="3" customFormat="1" x14ac:dyDescent="0.25">
      <c r="A127" s="3">
        <v>28060</v>
      </c>
      <c r="B127" s="3" t="s">
        <v>365</v>
      </c>
      <c r="C127" s="3" t="s">
        <v>19</v>
      </c>
      <c r="D127" s="3" t="s">
        <v>379</v>
      </c>
      <c r="E127" s="3" t="s">
        <v>151</v>
      </c>
    </row>
    <row r="128" spans="1:5" s="3" customFormat="1" x14ac:dyDescent="0.25">
      <c r="A128" s="3">
        <v>28063</v>
      </c>
      <c r="B128" s="3" t="s">
        <v>380</v>
      </c>
      <c r="C128" s="3" t="s">
        <v>19</v>
      </c>
      <c r="D128" s="3" t="s">
        <v>381</v>
      </c>
      <c r="E128" s="3" t="s">
        <v>151</v>
      </c>
    </row>
    <row r="129" spans="1:5" s="3" customFormat="1" x14ac:dyDescent="0.25">
      <c r="A129" s="3">
        <v>28080</v>
      </c>
      <c r="B129" s="3" t="s">
        <v>382</v>
      </c>
      <c r="C129" s="3" t="s">
        <v>19</v>
      </c>
      <c r="D129" s="3" t="s">
        <v>383</v>
      </c>
      <c r="E129" s="3" t="s">
        <v>151</v>
      </c>
    </row>
    <row r="130" spans="1:5" s="3" customFormat="1" x14ac:dyDescent="0.25">
      <c r="A130" s="3">
        <v>28103</v>
      </c>
      <c r="B130" s="3" t="s">
        <v>384</v>
      </c>
      <c r="C130" s="3" t="s">
        <v>39</v>
      </c>
      <c r="D130" s="3" t="s">
        <v>385</v>
      </c>
      <c r="E130" s="3" t="s">
        <v>151</v>
      </c>
    </row>
    <row r="131" spans="1:5" s="3" customFormat="1" x14ac:dyDescent="0.25">
      <c r="A131" s="3">
        <v>28116</v>
      </c>
      <c r="B131" s="3" t="s">
        <v>386</v>
      </c>
      <c r="C131" s="3" t="s">
        <v>92</v>
      </c>
      <c r="D131" s="3" t="s">
        <v>387</v>
      </c>
      <c r="E131" s="3" t="s">
        <v>151</v>
      </c>
    </row>
    <row r="132" spans="1:5" s="3" customFormat="1" x14ac:dyDescent="0.25">
      <c r="A132" s="3">
        <v>28155</v>
      </c>
      <c r="B132" s="3" t="s">
        <v>388</v>
      </c>
      <c r="C132" s="3" t="s">
        <v>188</v>
      </c>
      <c r="D132" s="3" t="s">
        <v>389</v>
      </c>
      <c r="E132" s="3" t="s">
        <v>151</v>
      </c>
    </row>
    <row r="133" spans="1:5" s="3" customFormat="1" x14ac:dyDescent="0.25">
      <c r="A133" s="3">
        <v>28186</v>
      </c>
      <c r="B133" s="3" t="s">
        <v>390</v>
      </c>
      <c r="C133" s="3" t="s">
        <v>141</v>
      </c>
      <c r="D133" s="3" t="s">
        <v>391</v>
      </c>
      <c r="E133" s="3" t="s">
        <v>151</v>
      </c>
    </row>
    <row r="134" spans="1:5" s="3" customFormat="1" x14ac:dyDescent="0.25">
      <c r="A134" s="3">
        <v>28208</v>
      </c>
      <c r="B134" s="3" t="s">
        <v>392</v>
      </c>
      <c r="C134" s="3" t="s">
        <v>393</v>
      </c>
      <c r="D134" s="3" t="s">
        <v>394</v>
      </c>
      <c r="E134" s="3" t="s">
        <v>151</v>
      </c>
    </row>
    <row r="135" spans="1:5" s="3" customFormat="1" x14ac:dyDescent="0.25">
      <c r="A135" s="3">
        <v>28213</v>
      </c>
      <c r="B135" s="3" t="s">
        <v>395</v>
      </c>
      <c r="C135" s="3" t="s">
        <v>23</v>
      </c>
      <c r="D135" s="3" t="s">
        <v>396</v>
      </c>
      <c r="E135" s="3" t="s">
        <v>151</v>
      </c>
    </row>
    <row r="136" spans="1:5" s="3" customFormat="1" x14ac:dyDescent="0.25">
      <c r="A136" s="3">
        <v>28217</v>
      </c>
      <c r="B136" s="3" t="s">
        <v>397</v>
      </c>
      <c r="C136" s="3" t="s">
        <v>19</v>
      </c>
      <c r="D136" s="3" t="s">
        <v>398</v>
      </c>
      <c r="E136" s="3" t="s">
        <v>151</v>
      </c>
    </row>
    <row r="137" spans="1:5" s="3" customFormat="1" x14ac:dyDescent="0.25">
      <c r="A137" s="3">
        <v>28222</v>
      </c>
      <c r="B137" s="3" t="s">
        <v>399</v>
      </c>
      <c r="C137" s="3" t="s">
        <v>36</v>
      </c>
      <c r="D137" s="3" t="s">
        <v>400</v>
      </c>
      <c r="E137" s="3" t="s">
        <v>151</v>
      </c>
    </row>
    <row r="138" spans="1:5" s="3" customFormat="1" x14ac:dyDescent="0.25">
      <c r="A138" s="3">
        <v>28246</v>
      </c>
      <c r="B138" s="3" t="s">
        <v>401</v>
      </c>
      <c r="C138" s="3" t="s">
        <v>134</v>
      </c>
      <c r="D138" s="3" t="s">
        <v>402</v>
      </c>
      <c r="E138" s="3" t="s">
        <v>151</v>
      </c>
    </row>
    <row r="139" spans="1:5" s="3" customFormat="1" x14ac:dyDescent="0.25">
      <c r="A139" s="3">
        <v>28266</v>
      </c>
      <c r="B139" s="3" t="s">
        <v>90</v>
      </c>
      <c r="C139" s="3" t="s">
        <v>92</v>
      </c>
      <c r="D139" s="3" t="s">
        <v>403</v>
      </c>
      <c r="E139" s="3" t="s">
        <v>151</v>
      </c>
    </row>
    <row r="140" spans="1:5" s="3" customFormat="1" x14ac:dyDescent="0.25">
      <c r="A140" s="3">
        <v>28277</v>
      </c>
      <c r="B140" s="3" t="s">
        <v>404</v>
      </c>
      <c r="C140" s="3" t="s">
        <v>371</v>
      </c>
      <c r="D140" s="3" t="s">
        <v>405</v>
      </c>
      <c r="E140" s="3" t="s">
        <v>151</v>
      </c>
    </row>
    <row r="141" spans="1:5" s="3" customFormat="1" x14ac:dyDescent="0.25">
      <c r="A141" s="3">
        <v>28288</v>
      </c>
      <c r="B141" s="3" t="s">
        <v>406</v>
      </c>
      <c r="C141" s="3" t="s">
        <v>42</v>
      </c>
      <c r="D141" s="3" t="s">
        <v>407</v>
      </c>
      <c r="E141" s="3" t="s">
        <v>151</v>
      </c>
    </row>
    <row r="142" spans="1:5" s="3" customFormat="1" x14ac:dyDescent="0.25">
      <c r="A142" s="3">
        <v>28302</v>
      </c>
      <c r="B142" s="3" t="s">
        <v>408</v>
      </c>
      <c r="C142" s="3" t="s">
        <v>39</v>
      </c>
      <c r="D142" s="3" t="s">
        <v>409</v>
      </c>
      <c r="E142" s="3" t="s">
        <v>151</v>
      </c>
    </row>
    <row r="143" spans="1:5" s="3" customFormat="1" x14ac:dyDescent="0.25">
      <c r="A143" s="3">
        <v>28314</v>
      </c>
      <c r="B143" s="3" t="s">
        <v>410</v>
      </c>
      <c r="C143" s="3" t="s">
        <v>64</v>
      </c>
      <c r="D143" s="3" t="s">
        <v>411</v>
      </c>
      <c r="E143" s="3" t="s">
        <v>151</v>
      </c>
    </row>
    <row r="144" spans="1:5" s="3" customFormat="1" x14ac:dyDescent="0.25">
      <c r="A144" s="3">
        <v>28315</v>
      </c>
      <c r="B144" s="3" t="s">
        <v>412</v>
      </c>
      <c r="C144" s="3" t="s">
        <v>393</v>
      </c>
      <c r="D144" s="3" t="s">
        <v>413</v>
      </c>
      <c r="E144" s="3" t="s">
        <v>151</v>
      </c>
    </row>
    <row r="145" spans="1:5" s="3" customFormat="1" x14ac:dyDescent="0.25">
      <c r="A145" s="3">
        <v>28316</v>
      </c>
      <c r="B145" s="3" t="s">
        <v>414</v>
      </c>
      <c r="C145" s="3" t="s">
        <v>344</v>
      </c>
      <c r="D145" s="3" t="s">
        <v>415</v>
      </c>
      <c r="E145" s="3" t="s">
        <v>151</v>
      </c>
    </row>
    <row r="146" spans="1:5" s="3" customFormat="1" x14ac:dyDescent="0.25">
      <c r="A146" s="3">
        <v>28348</v>
      </c>
      <c r="B146" s="3" t="s">
        <v>416</v>
      </c>
      <c r="C146" s="3" t="s">
        <v>19</v>
      </c>
      <c r="D146" s="3" t="s">
        <v>417</v>
      </c>
      <c r="E146" s="3" t="s">
        <v>151</v>
      </c>
    </row>
    <row r="147" spans="1:5" s="3" customFormat="1" x14ac:dyDescent="0.25">
      <c r="A147" s="3">
        <v>28368</v>
      </c>
      <c r="B147" s="3" t="s">
        <v>418</v>
      </c>
      <c r="C147" s="3" t="s">
        <v>23</v>
      </c>
      <c r="D147" s="3" t="s">
        <v>419</v>
      </c>
      <c r="E147" s="3" t="s">
        <v>151</v>
      </c>
    </row>
    <row r="148" spans="1:5" s="3" customFormat="1" x14ac:dyDescent="0.25">
      <c r="A148" s="3">
        <v>28369</v>
      </c>
      <c r="B148" s="3" t="s">
        <v>420</v>
      </c>
      <c r="C148" s="3" t="s">
        <v>42</v>
      </c>
      <c r="D148" s="3" t="s">
        <v>421</v>
      </c>
      <c r="E148" s="3" t="s">
        <v>151</v>
      </c>
    </row>
    <row r="149" spans="1:5" s="3" customFormat="1" x14ac:dyDescent="0.25">
      <c r="A149" s="3">
        <v>28401</v>
      </c>
      <c r="B149" s="3" t="s">
        <v>422</v>
      </c>
      <c r="C149" s="3" t="s">
        <v>39</v>
      </c>
      <c r="D149" s="3" t="s">
        <v>423</v>
      </c>
      <c r="E149" s="3" t="s">
        <v>151</v>
      </c>
    </row>
    <row r="150" spans="1:5" s="3" customFormat="1" x14ac:dyDescent="0.25">
      <c r="A150" s="3">
        <v>28425</v>
      </c>
      <c r="B150" s="3" t="s">
        <v>424</v>
      </c>
      <c r="C150" s="3" t="s">
        <v>39</v>
      </c>
      <c r="D150" s="3" t="s">
        <v>425</v>
      </c>
      <c r="E150" s="3" t="s">
        <v>151</v>
      </c>
    </row>
    <row r="151" spans="1:5" s="3" customFormat="1" x14ac:dyDescent="0.25">
      <c r="A151" s="3">
        <v>28463</v>
      </c>
      <c r="B151" s="3" t="s">
        <v>213</v>
      </c>
      <c r="C151" s="3" t="s">
        <v>19</v>
      </c>
      <c r="D151" s="3" t="s">
        <v>426</v>
      </c>
      <c r="E151" s="3" t="s">
        <v>151</v>
      </c>
    </row>
    <row r="152" spans="1:5" s="3" customFormat="1" x14ac:dyDescent="0.25">
      <c r="A152" s="3">
        <v>28471</v>
      </c>
      <c r="B152" s="3" t="s">
        <v>427</v>
      </c>
      <c r="C152" s="3" t="s">
        <v>64</v>
      </c>
      <c r="D152" s="3" t="s">
        <v>428</v>
      </c>
      <c r="E152" s="3" t="s">
        <v>151</v>
      </c>
    </row>
    <row r="153" spans="1:5" s="3" customFormat="1" x14ac:dyDescent="0.25">
      <c r="A153" s="3">
        <v>28478</v>
      </c>
      <c r="B153" s="3" t="s">
        <v>429</v>
      </c>
      <c r="C153" s="3" t="s">
        <v>196</v>
      </c>
      <c r="D153" s="3" t="s">
        <v>430</v>
      </c>
      <c r="E153" s="3" t="s">
        <v>151</v>
      </c>
    </row>
    <row r="154" spans="1:5" s="3" customFormat="1" x14ac:dyDescent="0.25">
      <c r="A154" s="3">
        <v>28507</v>
      </c>
      <c r="B154" s="3" t="s">
        <v>431</v>
      </c>
      <c r="C154" s="3" t="s">
        <v>134</v>
      </c>
      <c r="D154" s="3" t="s">
        <v>432</v>
      </c>
      <c r="E154" s="3" t="s">
        <v>151</v>
      </c>
    </row>
    <row r="155" spans="1:5" s="3" customFormat="1" x14ac:dyDescent="0.25">
      <c r="A155" s="3">
        <v>28515</v>
      </c>
      <c r="B155" s="3" t="s">
        <v>433</v>
      </c>
      <c r="C155" s="3" t="s">
        <v>131</v>
      </c>
      <c r="D155" s="3" t="s">
        <v>434</v>
      </c>
      <c r="E155" s="3" t="s">
        <v>151</v>
      </c>
    </row>
    <row r="156" spans="1:5" s="3" customFormat="1" x14ac:dyDescent="0.25">
      <c r="A156" s="3">
        <v>28530</v>
      </c>
      <c r="B156" s="3" t="s">
        <v>435</v>
      </c>
      <c r="C156" s="3" t="s">
        <v>115</v>
      </c>
      <c r="D156" s="3" t="s">
        <v>436</v>
      </c>
      <c r="E156" s="3" t="s">
        <v>151</v>
      </c>
    </row>
    <row r="157" spans="1:5" s="3" customFormat="1" x14ac:dyDescent="0.25">
      <c r="A157" s="3">
        <v>28555</v>
      </c>
      <c r="B157" s="3" t="s">
        <v>437</v>
      </c>
      <c r="C157" s="3" t="s">
        <v>19</v>
      </c>
      <c r="D157" s="3" t="s">
        <v>438</v>
      </c>
      <c r="E157" s="3" t="s">
        <v>151</v>
      </c>
    </row>
    <row r="158" spans="1:5" s="3" customFormat="1" x14ac:dyDescent="0.25">
      <c r="A158" s="3">
        <v>28585</v>
      </c>
      <c r="B158" s="3" t="s">
        <v>439</v>
      </c>
      <c r="C158" s="3" t="s">
        <v>49</v>
      </c>
      <c r="D158" s="3" t="s">
        <v>440</v>
      </c>
      <c r="E158" s="3" t="s">
        <v>151</v>
      </c>
    </row>
    <row r="159" spans="1:5" s="3" customFormat="1" x14ac:dyDescent="0.25">
      <c r="A159" s="3">
        <v>28599</v>
      </c>
      <c r="B159" s="3" t="s">
        <v>441</v>
      </c>
      <c r="C159" s="3" t="s">
        <v>92</v>
      </c>
      <c r="D159" s="3" t="s">
        <v>442</v>
      </c>
      <c r="E159" s="3" t="s">
        <v>151</v>
      </c>
    </row>
    <row r="160" spans="1:5" s="3" customFormat="1" x14ac:dyDescent="0.25">
      <c r="A160" s="3">
        <v>28614</v>
      </c>
      <c r="B160" s="3" t="s">
        <v>443</v>
      </c>
      <c r="C160" s="3" t="s">
        <v>115</v>
      </c>
      <c r="D160" s="3" t="s">
        <v>444</v>
      </c>
      <c r="E160" s="3" t="s">
        <v>151</v>
      </c>
    </row>
    <row r="161" spans="1:5" s="3" customFormat="1" x14ac:dyDescent="0.25">
      <c r="A161" s="3">
        <v>28637</v>
      </c>
      <c r="B161" s="3" t="s">
        <v>445</v>
      </c>
      <c r="C161" s="3" t="s">
        <v>141</v>
      </c>
      <c r="D161" s="3" t="s">
        <v>446</v>
      </c>
      <c r="E161" s="3" t="s">
        <v>151</v>
      </c>
    </row>
    <row r="162" spans="1:5" s="3" customFormat="1" x14ac:dyDescent="0.25">
      <c r="A162" s="3">
        <v>28652</v>
      </c>
      <c r="B162" s="3" t="s">
        <v>447</v>
      </c>
      <c r="C162" s="3" t="s">
        <v>448</v>
      </c>
      <c r="D162" s="3" t="s">
        <v>449</v>
      </c>
      <c r="E162" s="3" t="s">
        <v>151</v>
      </c>
    </row>
    <row r="163" spans="1:5" s="3" customFormat="1" x14ac:dyDescent="0.25">
      <c r="A163" s="3">
        <v>28663</v>
      </c>
      <c r="B163" s="3" t="s">
        <v>450</v>
      </c>
      <c r="C163" s="3" t="s">
        <v>19</v>
      </c>
      <c r="D163" s="3" t="s">
        <v>451</v>
      </c>
      <c r="E163" s="3" t="s">
        <v>151</v>
      </c>
    </row>
    <row r="164" spans="1:5" s="3" customFormat="1" x14ac:dyDescent="0.25">
      <c r="A164" s="3">
        <v>28667</v>
      </c>
      <c r="B164" s="3" t="s">
        <v>452</v>
      </c>
      <c r="C164" s="3" t="s">
        <v>453</v>
      </c>
      <c r="D164" s="3" t="s">
        <v>454</v>
      </c>
      <c r="E164" s="3" t="s">
        <v>151</v>
      </c>
    </row>
    <row r="165" spans="1:5" s="3" customFormat="1" x14ac:dyDescent="0.25">
      <c r="A165" s="3">
        <v>28677</v>
      </c>
      <c r="B165" s="3" t="s">
        <v>455</v>
      </c>
      <c r="C165" s="3" t="s">
        <v>19</v>
      </c>
      <c r="D165" s="3" t="s">
        <v>456</v>
      </c>
      <c r="E165" s="3" t="s">
        <v>151</v>
      </c>
    </row>
    <row r="166" spans="1:5" s="3" customFormat="1" x14ac:dyDescent="0.25">
      <c r="A166" s="3">
        <v>28679</v>
      </c>
      <c r="B166" s="3" t="s">
        <v>457</v>
      </c>
      <c r="C166" s="3" t="s">
        <v>115</v>
      </c>
      <c r="D166" s="3" t="s">
        <v>458</v>
      </c>
      <c r="E166" s="3" t="s">
        <v>151</v>
      </c>
    </row>
    <row r="167" spans="1:5" s="3" customFormat="1" x14ac:dyDescent="0.25">
      <c r="A167" s="3">
        <v>28701</v>
      </c>
      <c r="B167" s="3" t="s">
        <v>459</v>
      </c>
      <c r="C167" s="3" t="s">
        <v>141</v>
      </c>
      <c r="D167" s="3" t="s">
        <v>460</v>
      </c>
      <c r="E167" s="3" t="s">
        <v>151</v>
      </c>
    </row>
    <row r="168" spans="1:5" s="3" customFormat="1" x14ac:dyDescent="0.25">
      <c r="A168" s="3">
        <v>28706</v>
      </c>
      <c r="B168" s="3" t="s">
        <v>461</v>
      </c>
      <c r="C168" s="3" t="s">
        <v>141</v>
      </c>
      <c r="D168" s="3" t="s">
        <v>462</v>
      </c>
      <c r="E168" s="3" t="s">
        <v>151</v>
      </c>
    </row>
    <row r="169" spans="1:5" s="3" customFormat="1" x14ac:dyDescent="0.25">
      <c r="A169" s="3">
        <v>28708</v>
      </c>
      <c r="B169" s="3" t="s">
        <v>463</v>
      </c>
      <c r="C169" s="3" t="s">
        <v>36</v>
      </c>
      <c r="D169" s="3" t="s">
        <v>464</v>
      </c>
      <c r="E169" s="3" t="s">
        <v>151</v>
      </c>
    </row>
    <row r="170" spans="1:5" s="3" customFormat="1" x14ac:dyDescent="0.25">
      <c r="A170" s="3">
        <v>28712</v>
      </c>
      <c r="B170" s="3" t="s">
        <v>465</v>
      </c>
      <c r="C170" s="3" t="s">
        <v>49</v>
      </c>
      <c r="D170" s="3" t="s">
        <v>466</v>
      </c>
      <c r="E170" s="3" t="s">
        <v>151</v>
      </c>
    </row>
    <row r="171" spans="1:5" s="3" customFormat="1" x14ac:dyDescent="0.25">
      <c r="A171" s="3">
        <v>28729</v>
      </c>
      <c r="B171" s="3" t="s">
        <v>467</v>
      </c>
      <c r="C171" s="3" t="s">
        <v>36</v>
      </c>
      <c r="D171" s="3" t="s">
        <v>468</v>
      </c>
      <c r="E171" s="3" t="s">
        <v>151</v>
      </c>
    </row>
    <row r="172" spans="1:5" s="3" customFormat="1" x14ac:dyDescent="0.25">
      <c r="A172" s="3">
        <v>28747</v>
      </c>
      <c r="B172" s="3" t="s">
        <v>469</v>
      </c>
      <c r="C172" s="3" t="s">
        <v>39</v>
      </c>
      <c r="D172" s="3" t="s">
        <v>470</v>
      </c>
      <c r="E172" s="3" t="s">
        <v>151</v>
      </c>
    </row>
    <row r="173" spans="1:5" s="3" customFormat="1" x14ac:dyDescent="0.25">
      <c r="A173" s="3">
        <v>28769</v>
      </c>
      <c r="B173" s="3" t="s">
        <v>471</v>
      </c>
      <c r="C173" s="3" t="s">
        <v>196</v>
      </c>
      <c r="D173" s="3" t="s">
        <v>472</v>
      </c>
      <c r="E173" s="3" t="s">
        <v>151</v>
      </c>
    </row>
    <row r="174" spans="1:5" s="3" customFormat="1" x14ac:dyDescent="0.25">
      <c r="A174" s="3">
        <v>28778</v>
      </c>
      <c r="B174" s="3" t="s">
        <v>93</v>
      </c>
      <c r="C174" s="3" t="s">
        <v>36</v>
      </c>
      <c r="D174" s="3" t="s">
        <v>473</v>
      </c>
      <c r="E174" s="3" t="s">
        <v>151</v>
      </c>
    </row>
    <row r="175" spans="1:5" s="3" customFormat="1" x14ac:dyDescent="0.25">
      <c r="A175" s="3">
        <v>28780</v>
      </c>
      <c r="B175" s="3" t="s">
        <v>95</v>
      </c>
      <c r="C175" s="3" t="s">
        <v>97</v>
      </c>
      <c r="D175" s="3" t="s">
        <v>474</v>
      </c>
      <c r="E175" s="3" t="s">
        <v>151</v>
      </c>
    </row>
    <row r="176" spans="1:5" s="3" customFormat="1" x14ac:dyDescent="0.25">
      <c r="A176" s="3">
        <v>28788</v>
      </c>
      <c r="B176" s="3" t="s">
        <v>475</v>
      </c>
      <c r="C176" s="3" t="s">
        <v>36</v>
      </c>
      <c r="D176" s="3" t="s">
        <v>476</v>
      </c>
      <c r="E176" s="3" t="s">
        <v>151</v>
      </c>
    </row>
    <row r="177" spans="1:5" s="3" customFormat="1" x14ac:dyDescent="0.25">
      <c r="A177" s="3">
        <v>28790</v>
      </c>
      <c r="B177" s="3" t="s">
        <v>477</v>
      </c>
      <c r="C177" s="3" t="s">
        <v>115</v>
      </c>
      <c r="D177" s="3" t="s">
        <v>478</v>
      </c>
      <c r="E177" s="3" t="s">
        <v>151</v>
      </c>
    </row>
    <row r="178" spans="1:5" s="3" customFormat="1" x14ac:dyDescent="0.25">
      <c r="A178" s="3">
        <v>28793</v>
      </c>
      <c r="B178" s="3" t="s">
        <v>479</v>
      </c>
      <c r="C178" s="3" t="s">
        <v>141</v>
      </c>
      <c r="D178" s="3" t="s">
        <v>480</v>
      </c>
      <c r="E178" s="3" t="s">
        <v>151</v>
      </c>
    </row>
    <row r="179" spans="1:5" s="3" customFormat="1" x14ac:dyDescent="0.25">
      <c r="A179" s="3">
        <v>28818</v>
      </c>
      <c r="B179" s="3" t="s">
        <v>481</v>
      </c>
      <c r="C179" s="3" t="s">
        <v>36</v>
      </c>
      <c r="D179" s="3" t="s">
        <v>482</v>
      </c>
      <c r="E179" s="3" t="s">
        <v>151</v>
      </c>
    </row>
    <row r="180" spans="1:5" s="3" customFormat="1" x14ac:dyDescent="0.25">
      <c r="A180" s="3">
        <v>28834</v>
      </c>
      <c r="B180" s="3" t="s">
        <v>483</v>
      </c>
      <c r="C180" s="3" t="s">
        <v>36</v>
      </c>
      <c r="D180" s="3" t="s">
        <v>484</v>
      </c>
      <c r="E180" s="3" t="s">
        <v>151</v>
      </c>
    </row>
    <row r="181" spans="1:5" s="3" customFormat="1" x14ac:dyDescent="0.25">
      <c r="A181" s="3">
        <v>28837</v>
      </c>
      <c r="B181" s="3" t="s">
        <v>485</v>
      </c>
      <c r="C181" s="3" t="s">
        <v>155</v>
      </c>
      <c r="D181" s="3" t="s">
        <v>486</v>
      </c>
      <c r="E181" s="3" t="s">
        <v>151</v>
      </c>
    </row>
    <row r="182" spans="1:5" s="3" customFormat="1" x14ac:dyDescent="0.25">
      <c r="A182" s="3">
        <v>28841</v>
      </c>
      <c r="B182" s="3" t="s">
        <v>487</v>
      </c>
      <c r="C182" s="3" t="s">
        <v>39</v>
      </c>
      <c r="D182" s="3" t="s">
        <v>488</v>
      </c>
      <c r="E182" s="3" t="s">
        <v>151</v>
      </c>
    </row>
    <row r="183" spans="1:5" s="3" customFormat="1" x14ac:dyDescent="0.25">
      <c r="A183" s="3">
        <v>28845</v>
      </c>
      <c r="B183" s="3" t="s">
        <v>489</v>
      </c>
      <c r="C183" s="3" t="s">
        <v>490</v>
      </c>
      <c r="D183" s="3" t="s">
        <v>491</v>
      </c>
      <c r="E183" s="3" t="s">
        <v>151</v>
      </c>
    </row>
    <row r="184" spans="1:5" s="3" customFormat="1" x14ac:dyDescent="0.25">
      <c r="A184" s="3">
        <v>28859</v>
      </c>
      <c r="B184" s="3" t="s">
        <v>492</v>
      </c>
      <c r="C184" s="3" t="s">
        <v>61</v>
      </c>
      <c r="D184" s="3" t="s">
        <v>493</v>
      </c>
      <c r="E184" s="3" t="s">
        <v>151</v>
      </c>
    </row>
    <row r="185" spans="1:5" s="3" customFormat="1" x14ac:dyDescent="0.25">
      <c r="A185" s="3">
        <v>28860</v>
      </c>
      <c r="B185" s="3" t="s">
        <v>494</v>
      </c>
      <c r="C185" s="3" t="s">
        <v>393</v>
      </c>
      <c r="D185" s="3" t="s">
        <v>495</v>
      </c>
      <c r="E185" s="3" t="s">
        <v>151</v>
      </c>
    </row>
    <row r="186" spans="1:5" s="3" customFormat="1" x14ac:dyDescent="0.25">
      <c r="A186" s="3">
        <v>28870</v>
      </c>
      <c r="B186" s="3" t="s">
        <v>496</v>
      </c>
      <c r="C186" s="3" t="s">
        <v>49</v>
      </c>
      <c r="D186" s="3" t="s">
        <v>497</v>
      </c>
      <c r="E186" s="3" t="s">
        <v>151</v>
      </c>
    </row>
    <row r="187" spans="1:5" s="3" customFormat="1" x14ac:dyDescent="0.25">
      <c r="A187" s="3">
        <v>28894</v>
      </c>
      <c r="B187" s="3" t="s">
        <v>498</v>
      </c>
      <c r="C187" s="3" t="s">
        <v>196</v>
      </c>
      <c r="D187" s="3" t="s">
        <v>499</v>
      </c>
      <c r="E187" s="3" t="s">
        <v>151</v>
      </c>
    </row>
    <row r="188" spans="1:5" s="3" customFormat="1" x14ac:dyDescent="0.25">
      <c r="A188" s="3">
        <v>28908</v>
      </c>
      <c r="B188" s="3" t="s">
        <v>500</v>
      </c>
      <c r="C188" s="3" t="s">
        <v>141</v>
      </c>
      <c r="D188" s="3" t="s">
        <v>501</v>
      </c>
      <c r="E188" s="3" t="s">
        <v>151</v>
      </c>
    </row>
    <row r="189" spans="1:5" s="3" customFormat="1" x14ac:dyDescent="0.25">
      <c r="A189" s="3">
        <v>28914</v>
      </c>
      <c r="B189" s="3" t="s">
        <v>502</v>
      </c>
      <c r="C189" s="3" t="s">
        <v>503</v>
      </c>
      <c r="D189" s="3" t="s">
        <v>504</v>
      </c>
      <c r="E189" s="3" t="s">
        <v>151</v>
      </c>
    </row>
    <row r="190" spans="1:5" s="3" customFormat="1" x14ac:dyDescent="0.25">
      <c r="A190" s="3">
        <v>28924</v>
      </c>
      <c r="B190" s="3" t="s">
        <v>505</v>
      </c>
      <c r="C190" s="3" t="s">
        <v>39</v>
      </c>
      <c r="D190" s="3" t="s">
        <v>506</v>
      </c>
      <c r="E190" s="3" t="s">
        <v>151</v>
      </c>
    </row>
    <row r="191" spans="1:5" s="3" customFormat="1" x14ac:dyDescent="0.25">
      <c r="A191" s="3">
        <v>28925</v>
      </c>
      <c r="B191" s="3" t="s">
        <v>507</v>
      </c>
      <c r="C191" s="3" t="s">
        <v>39</v>
      </c>
      <c r="D191" s="3" t="s">
        <v>508</v>
      </c>
      <c r="E191" s="3" t="s">
        <v>151</v>
      </c>
    </row>
    <row r="192" spans="1:5" s="3" customFormat="1" x14ac:dyDescent="0.25">
      <c r="A192" s="3">
        <v>28942</v>
      </c>
      <c r="B192" s="3" t="s">
        <v>509</v>
      </c>
      <c r="C192" s="3" t="s">
        <v>49</v>
      </c>
      <c r="D192" s="3" t="s">
        <v>510</v>
      </c>
      <c r="E192" s="3" t="s">
        <v>151</v>
      </c>
    </row>
    <row r="193" spans="1:5" s="3" customFormat="1" x14ac:dyDescent="0.25">
      <c r="A193" s="3">
        <v>28949</v>
      </c>
      <c r="B193" s="3" t="s">
        <v>98</v>
      </c>
      <c r="C193" s="3" t="s">
        <v>72</v>
      </c>
      <c r="D193" s="3" t="s">
        <v>511</v>
      </c>
      <c r="E193" s="3" t="s">
        <v>151</v>
      </c>
    </row>
    <row r="194" spans="1:5" s="3" customFormat="1" x14ac:dyDescent="0.25">
      <c r="A194" s="3">
        <v>28983</v>
      </c>
      <c r="B194" s="3" t="s">
        <v>512</v>
      </c>
      <c r="C194" s="3" t="s">
        <v>115</v>
      </c>
      <c r="D194" s="3" t="s">
        <v>513</v>
      </c>
      <c r="E194" s="3" t="s">
        <v>151</v>
      </c>
    </row>
    <row r="195" spans="1:5" s="3" customFormat="1" x14ac:dyDescent="0.25">
      <c r="A195" s="3">
        <v>29009</v>
      </c>
      <c r="B195" s="3" t="s">
        <v>514</v>
      </c>
      <c r="C195" s="3" t="s">
        <v>39</v>
      </c>
      <c r="D195" s="3" t="s">
        <v>515</v>
      </c>
      <c r="E195" s="3" t="s">
        <v>151</v>
      </c>
    </row>
    <row r="196" spans="1:5" s="3" customFormat="1" x14ac:dyDescent="0.25">
      <c r="A196" s="3">
        <v>29024</v>
      </c>
      <c r="B196" s="3" t="s">
        <v>516</v>
      </c>
      <c r="C196" s="3" t="s">
        <v>196</v>
      </c>
      <c r="D196" s="3" t="s">
        <v>517</v>
      </c>
      <c r="E196" s="3" t="s">
        <v>151</v>
      </c>
    </row>
    <row r="197" spans="1:5" s="3" customFormat="1" x14ac:dyDescent="0.25">
      <c r="A197" s="3">
        <v>29035</v>
      </c>
      <c r="B197" s="3" t="s">
        <v>518</v>
      </c>
      <c r="C197" s="3" t="s">
        <v>368</v>
      </c>
      <c r="D197" s="3" t="s">
        <v>519</v>
      </c>
      <c r="E197" s="3" t="s">
        <v>151</v>
      </c>
    </row>
    <row r="198" spans="1:5" s="3" customFormat="1" x14ac:dyDescent="0.25">
      <c r="A198" s="3">
        <v>29047</v>
      </c>
      <c r="B198" s="3" t="s">
        <v>520</v>
      </c>
      <c r="C198" s="3" t="s">
        <v>371</v>
      </c>
      <c r="D198" s="3" t="s">
        <v>521</v>
      </c>
      <c r="E198" s="3" t="s">
        <v>151</v>
      </c>
    </row>
    <row r="199" spans="1:5" s="3" customFormat="1" x14ac:dyDescent="0.25">
      <c r="A199" s="3">
        <v>29059</v>
      </c>
      <c r="B199" s="3" t="s">
        <v>522</v>
      </c>
      <c r="C199" s="3" t="s">
        <v>523</v>
      </c>
      <c r="D199" s="3" t="s">
        <v>524</v>
      </c>
      <c r="E199" s="3" t="s">
        <v>151</v>
      </c>
    </row>
    <row r="200" spans="1:5" s="3" customFormat="1" x14ac:dyDescent="0.25">
      <c r="A200" s="3">
        <v>29061</v>
      </c>
      <c r="B200" s="3" t="s">
        <v>525</v>
      </c>
      <c r="C200" s="3" t="s">
        <v>64</v>
      </c>
      <c r="D200" s="3" t="s">
        <v>526</v>
      </c>
      <c r="E200" s="3" t="s">
        <v>151</v>
      </c>
    </row>
    <row r="201" spans="1:5" s="3" customFormat="1" x14ac:dyDescent="0.25">
      <c r="A201" s="3">
        <v>29066</v>
      </c>
      <c r="B201" s="3" t="s">
        <v>527</v>
      </c>
      <c r="C201" s="3" t="s">
        <v>393</v>
      </c>
      <c r="D201" s="3" t="s">
        <v>528</v>
      </c>
      <c r="E201" s="3" t="s">
        <v>151</v>
      </c>
    </row>
    <row r="202" spans="1:5" s="3" customFormat="1" x14ac:dyDescent="0.25">
      <c r="A202" s="3">
        <v>29090</v>
      </c>
      <c r="B202" s="3" t="s">
        <v>71</v>
      </c>
      <c r="C202" s="3" t="s">
        <v>19</v>
      </c>
      <c r="D202" s="3" t="s">
        <v>529</v>
      </c>
      <c r="E202" s="3" t="s">
        <v>151</v>
      </c>
    </row>
    <row r="203" spans="1:5" s="3" customFormat="1" x14ac:dyDescent="0.25">
      <c r="A203" s="3">
        <v>29121</v>
      </c>
      <c r="B203" s="3" t="s">
        <v>231</v>
      </c>
      <c r="C203" s="3" t="s">
        <v>39</v>
      </c>
      <c r="D203" s="3" t="s">
        <v>530</v>
      </c>
      <c r="E203" s="3" t="s">
        <v>151</v>
      </c>
    </row>
    <row r="204" spans="1:5" s="3" customFormat="1" x14ac:dyDescent="0.25">
      <c r="A204" s="3">
        <v>29135</v>
      </c>
      <c r="B204" s="3" t="s">
        <v>531</v>
      </c>
      <c r="C204" s="3" t="s">
        <v>19</v>
      </c>
      <c r="D204" s="3" t="s">
        <v>532</v>
      </c>
      <c r="E204" s="3" t="s">
        <v>151</v>
      </c>
    </row>
    <row r="205" spans="1:5" s="3" customFormat="1" x14ac:dyDescent="0.25">
      <c r="A205" s="3">
        <v>29164</v>
      </c>
      <c r="B205" s="3" t="s">
        <v>533</v>
      </c>
      <c r="C205" s="3" t="s">
        <v>69</v>
      </c>
      <c r="D205" s="3" t="s">
        <v>534</v>
      </c>
      <c r="E205" s="3" t="s">
        <v>151</v>
      </c>
    </row>
    <row r="206" spans="1:5" s="3" customFormat="1" x14ac:dyDescent="0.25">
      <c r="A206" s="3">
        <v>29170</v>
      </c>
      <c r="B206" s="3" t="s">
        <v>535</v>
      </c>
      <c r="C206" s="3" t="s">
        <v>36</v>
      </c>
      <c r="D206" s="3" t="s">
        <v>536</v>
      </c>
      <c r="E206" s="3" t="s">
        <v>151</v>
      </c>
    </row>
    <row r="207" spans="1:5" s="3" customFormat="1" x14ac:dyDescent="0.25">
      <c r="A207" s="3">
        <v>29173</v>
      </c>
      <c r="B207" s="3" t="s">
        <v>537</v>
      </c>
      <c r="C207" s="3" t="s">
        <v>19</v>
      </c>
      <c r="D207" s="3" t="s">
        <v>538</v>
      </c>
      <c r="E207" s="3" t="s">
        <v>151</v>
      </c>
    </row>
    <row r="208" spans="1:5" s="3" customFormat="1" x14ac:dyDescent="0.25">
      <c r="A208" s="3">
        <v>29186</v>
      </c>
      <c r="B208" s="3" t="s">
        <v>539</v>
      </c>
      <c r="C208" s="3" t="s">
        <v>540</v>
      </c>
      <c r="D208" s="3" t="s">
        <v>541</v>
      </c>
      <c r="E208" s="3" t="s">
        <v>151</v>
      </c>
    </row>
    <row r="209" spans="1:5" s="3" customFormat="1" x14ac:dyDescent="0.25">
      <c r="A209" s="3">
        <v>29188</v>
      </c>
      <c r="B209" s="3" t="s">
        <v>542</v>
      </c>
      <c r="C209" s="3" t="s">
        <v>115</v>
      </c>
      <c r="D209" s="3" t="s">
        <v>543</v>
      </c>
      <c r="E209" s="3" t="s">
        <v>151</v>
      </c>
    </row>
    <row r="210" spans="1:5" s="3" customFormat="1" x14ac:dyDescent="0.25">
      <c r="A210" s="3">
        <v>29208</v>
      </c>
      <c r="B210" s="3" t="s">
        <v>544</v>
      </c>
      <c r="C210" s="3" t="s">
        <v>131</v>
      </c>
      <c r="D210" s="3" t="s">
        <v>545</v>
      </c>
      <c r="E210" s="3" t="s">
        <v>151</v>
      </c>
    </row>
    <row r="211" spans="1:5" s="3" customFormat="1" x14ac:dyDescent="0.25">
      <c r="A211" s="3">
        <v>29227</v>
      </c>
      <c r="B211" s="3" t="s">
        <v>546</v>
      </c>
      <c r="C211" s="3" t="s">
        <v>39</v>
      </c>
      <c r="D211" s="3" t="s">
        <v>547</v>
      </c>
      <c r="E211" s="3" t="s">
        <v>151</v>
      </c>
    </row>
    <row r="212" spans="1:5" s="3" customFormat="1" x14ac:dyDescent="0.25">
      <c r="A212" s="3">
        <v>29231</v>
      </c>
      <c r="B212" s="3" t="s">
        <v>548</v>
      </c>
      <c r="C212" s="3" t="s">
        <v>141</v>
      </c>
      <c r="D212" s="3" t="s">
        <v>549</v>
      </c>
      <c r="E212" s="3" t="s">
        <v>151</v>
      </c>
    </row>
    <row r="213" spans="1:5" s="3" customFormat="1" x14ac:dyDescent="0.25">
      <c r="A213" s="3">
        <v>29238</v>
      </c>
      <c r="B213" s="3" t="s">
        <v>550</v>
      </c>
      <c r="C213" s="3" t="s">
        <v>61</v>
      </c>
      <c r="D213" s="3" t="s">
        <v>551</v>
      </c>
      <c r="E213" s="3" t="s">
        <v>151</v>
      </c>
    </row>
    <row r="214" spans="1:5" s="3" customFormat="1" x14ac:dyDescent="0.25">
      <c r="A214" s="3">
        <v>29241</v>
      </c>
      <c r="B214" s="3" t="s">
        <v>552</v>
      </c>
      <c r="C214" s="3" t="s">
        <v>131</v>
      </c>
      <c r="D214" s="3" t="s">
        <v>553</v>
      </c>
      <c r="E214" s="3" t="s">
        <v>151</v>
      </c>
    </row>
    <row r="215" spans="1:5" s="3" customFormat="1" x14ac:dyDescent="0.25">
      <c r="A215" s="3">
        <v>29293</v>
      </c>
      <c r="B215" s="3" t="s">
        <v>554</v>
      </c>
      <c r="C215" s="3" t="s">
        <v>115</v>
      </c>
      <c r="D215" s="3" t="s">
        <v>555</v>
      </c>
      <c r="E215" s="3" t="s">
        <v>151</v>
      </c>
    </row>
    <row r="216" spans="1:5" s="3" customFormat="1" x14ac:dyDescent="0.25">
      <c r="A216" s="3">
        <v>29294</v>
      </c>
      <c r="B216" s="3" t="s">
        <v>556</v>
      </c>
      <c r="C216" s="3" t="s">
        <v>115</v>
      </c>
      <c r="D216" s="3" t="s">
        <v>557</v>
      </c>
      <c r="E216" s="3" t="s">
        <v>151</v>
      </c>
    </row>
    <row r="217" spans="1:5" s="3" customFormat="1" x14ac:dyDescent="0.25">
      <c r="A217" s="3">
        <v>29345</v>
      </c>
      <c r="B217" s="3" t="s">
        <v>71</v>
      </c>
      <c r="C217" s="3" t="s">
        <v>19</v>
      </c>
      <c r="D217" s="3" t="s">
        <v>558</v>
      </c>
      <c r="E217" s="3" t="s">
        <v>151</v>
      </c>
    </row>
    <row r="218" spans="1:5" s="3" customFormat="1" x14ac:dyDescent="0.25">
      <c r="A218" s="3">
        <v>29357</v>
      </c>
      <c r="B218" s="3" t="s">
        <v>559</v>
      </c>
      <c r="C218" s="3" t="s">
        <v>69</v>
      </c>
      <c r="D218" s="3" t="s">
        <v>560</v>
      </c>
      <c r="E218" s="3" t="s">
        <v>151</v>
      </c>
    </row>
    <row r="219" spans="1:5" s="3" customFormat="1" x14ac:dyDescent="0.25">
      <c r="A219" s="3">
        <v>29384</v>
      </c>
      <c r="B219" s="3" t="s">
        <v>561</v>
      </c>
      <c r="C219" s="3" t="s">
        <v>39</v>
      </c>
      <c r="D219" s="3" t="s">
        <v>562</v>
      </c>
      <c r="E219" s="3" t="s">
        <v>151</v>
      </c>
    </row>
    <row r="220" spans="1:5" s="3" customFormat="1" x14ac:dyDescent="0.25">
      <c r="A220" s="3">
        <v>29426</v>
      </c>
      <c r="B220" s="3" t="s">
        <v>563</v>
      </c>
      <c r="C220" s="3" t="s">
        <v>28</v>
      </c>
      <c r="D220" s="3" t="s">
        <v>564</v>
      </c>
      <c r="E220" s="3" t="s">
        <v>151</v>
      </c>
    </row>
    <row r="221" spans="1:5" s="3" customFormat="1" x14ac:dyDescent="0.25">
      <c r="A221" s="3">
        <v>29430</v>
      </c>
      <c r="B221" s="3" t="s">
        <v>565</v>
      </c>
      <c r="C221" s="3" t="s">
        <v>141</v>
      </c>
      <c r="D221" s="3" t="s">
        <v>566</v>
      </c>
      <c r="E221" s="3" t="s">
        <v>151</v>
      </c>
    </row>
    <row r="222" spans="1:5" s="3" customFormat="1" x14ac:dyDescent="0.25">
      <c r="A222" s="3">
        <v>29449</v>
      </c>
      <c r="B222" s="3" t="s">
        <v>567</v>
      </c>
      <c r="C222" s="3" t="s">
        <v>39</v>
      </c>
      <c r="D222" s="3" t="s">
        <v>568</v>
      </c>
      <c r="E222" s="3" t="s">
        <v>151</v>
      </c>
    </row>
    <row r="223" spans="1:5" s="3" customFormat="1" x14ac:dyDescent="0.25">
      <c r="A223" s="3">
        <v>29471</v>
      </c>
      <c r="B223" s="3" t="s">
        <v>569</v>
      </c>
      <c r="C223" s="3" t="s">
        <v>141</v>
      </c>
      <c r="D223" s="3" t="s">
        <v>570</v>
      </c>
      <c r="E223" s="3" t="s">
        <v>151</v>
      </c>
    </row>
    <row r="224" spans="1:5" s="3" customFormat="1" x14ac:dyDescent="0.25">
      <c r="A224" s="3">
        <v>29476</v>
      </c>
      <c r="B224" s="3" t="s">
        <v>571</v>
      </c>
      <c r="C224" s="3" t="s">
        <v>572</v>
      </c>
      <c r="D224" s="3" t="s">
        <v>573</v>
      </c>
      <c r="E224" s="3" t="s">
        <v>151</v>
      </c>
    </row>
    <row r="225" spans="1:5" s="3" customFormat="1" x14ac:dyDescent="0.25">
      <c r="A225" s="3">
        <v>29486</v>
      </c>
      <c r="B225" s="3" t="s">
        <v>574</v>
      </c>
      <c r="C225" s="3" t="s">
        <v>61</v>
      </c>
      <c r="D225" s="3" t="s">
        <v>575</v>
      </c>
      <c r="E225" s="3" t="s">
        <v>151</v>
      </c>
    </row>
    <row r="226" spans="1:5" s="3" customFormat="1" x14ac:dyDescent="0.25">
      <c r="A226" s="3">
        <v>29488</v>
      </c>
      <c r="B226" s="3" t="s">
        <v>576</v>
      </c>
      <c r="C226" s="3" t="s">
        <v>19</v>
      </c>
      <c r="D226" s="3" t="s">
        <v>577</v>
      </c>
      <c r="E226" s="3" t="s">
        <v>151</v>
      </c>
    </row>
    <row r="227" spans="1:5" s="3" customFormat="1" x14ac:dyDescent="0.25">
      <c r="A227" s="3">
        <v>29496</v>
      </c>
      <c r="B227" s="3" t="s">
        <v>100</v>
      </c>
      <c r="C227" s="3" t="s">
        <v>49</v>
      </c>
      <c r="D227" s="3" t="s">
        <v>578</v>
      </c>
      <c r="E227" s="3" t="s">
        <v>151</v>
      </c>
    </row>
    <row r="228" spans="1:5" s="3" customFormat="1" x14ac:dyDescent="0.25">
      <c r="A228" s="3">
        <v>29517</v>
      </c>
      <c r="B228" s="3" t="s">
        <v>102</v>
      </c>
      <c r="C228" s="3" t="s">
        <v>104</v>
      </c>
      <c r="D228" s="3" t="s">
        <v>579</v>
      </c>
      <c r="E228" s="3" t="s">
        <v>151</v>
      </c>
    </row>
    <row r="229" spans="1:5" s="3" customFormat="1" x14ac:dyDescent="0.25">
      <c r="A229" s="3">
        <v>29520</v>
      </c>
      <c r="B229" s="3" t="s">
        <v>580</v>
      </c>
      <c r="C229" s="3" t="s">
        <v>141</v>
      </c>
      <c r="D229" s="3" t="s">
        <v>581</v>
      </c>
      <c r="E229" s="3" t="s">
        <v>151</v>
      </c>
    </row>
    <row r="230" spans="1:5" s="3" customFormat="1" x14ac:dyDescent="0.25">
      <c r="A230" s="3">
        <v>29521</v>
      </c>
      <c r="B230" s="3" t="s">
        <v>582</v>
      </c>
      <c r="C230" s="3" t="s">
        <v>19</v>
      </c>
      <c r="D230" s="3" t="s">
        <v>583</v>
      </c>
      <c r="E230" s="3" t="s">
        <v>151</v>
      </c>
    </row>
    <row r="231" spans="1:5" s="3" customFormat="1" x14ac:dyDescent="0.25">
      <c r="A231" s="3">
        <v>29535</v>
      </c>
      <c r="B231" s="3" t="s">
        <v>105</v>
      </c>
      <c r="C231" s="3" t="s">
        <v>39</v>
      </c>
      <c r="D231" s="3" t="s">
        <v>584</v>
      </c>
      <c r="E231" s="3" t="s">
        <v>151</v>
      </c>
    </row>
    <row r="232" spans="1:5" s="3" customFormat="1" x14ac:dyDescent="0.25">
      <c r="A232" s="3">
        <v>29537</v>
      </c>
      <c r="B232" s="3" t="s">
        <v>585</v>
      </c>
      <c r="C232" s="3" t="s">
        <v>586</v>
      </c>
      <c r="D232" s="3" t="s">
        <v>587</v>
      </c>
      <c r="E232" s="3" t="s">
        <v>151</v>
      </c>
    </row>
    <row r="233" spans="1:5" s="3" customFormat="1" x14ac:dyDescent="0.25">
      <c r="A233" s="3">
        <v>29571</v>
      </c>
      <c r="B233" s="3" t="s">
        <v>107</v>
      </c>
      <c r="C233" s="3" t="s">
        <v>19</v>
      </c>
      <c r="D233" s="3" t="s">
        <v>588</v>
      </c>
      <c r="E233" s="3" t="s">
        <v>151</v>
      </c>
    </row>
    <row r="234" spans="1:5" s="3" customFormat="1" x14ac:dyDescent="0.25">
      <c r="A234" s="3">
        <v>29578</v>
      </c>
      <c r="B234" s="3" t="s">
        <v>589</v>
      </c>
      <c r="C234" s="3" t="s">
        <v>19</v>
      </c>
      <c r="D234" s="3" t="s">
        <v>590</v>
      </c>
      <c r="E234" s="3" t="s">
        <v>151</v>
      </c>
    </row>
    <row r="235" spans="1:5" s="3" customFormat="1" x14ac:dyDescent="0.25">
      <c r="A235" s="3">
        <v>29613</v>
      </c>
      <c r="B235" s="3" t="s">
        <v>109</v>
      </c>
      <c r="C235" s="3" t="s">
        <v>97</v>
      </c>
      <c r="D235" s="3" t="s">
        <v>591</v>
      </c>
      <c r="E235" s="3" t="s">
        <v>151</v>
      </c>
    </row>
    <row r="236" spans="1:5" s="3" customFormat="1" x14ac:dyDescent="0.25">
      <c r="A236" s="3">
        <v>29617</v>
      </c>
      <c r="B236" s="3" t="s">
        <v>592</v>
      </c>
      <c r="C236" s="3" t="s">
        <v>19</v>
      </c>
      <c r="D236" s="3" t="s">
        <v>593</v>
      </c>
      <c r="E236" s="3" t="s">
        <v>151</v>
      </c>
    </row>
    <row r="237" spans="1:5" s="3" customFormat="1" x14ac:dyDescent="0.25">
      <c r="A237" s="3">
        <v>29624</v>
      </c>
      <c r="B237" s="3" t="s">
        <v>594</v>
      </c>
      <c r="C237" s="3" t="s">
        <v>503</v>
      </c>
      <c r="D237" s="3" t="s">
        <v>595</v>
      </c>
      <c r="E237" s="3" t="s">
        <v>151</v>
      </c>
    </row>
    <row r="238" spans="1:5" s="3" customFormat="1" x14ac:dyDescent="0.25">
      <c r="A238" s="3">
        <v>29632</v>
      </c>
      <c r="B238" s="3" t="s">
        <v>111</v>
      </c>
      <c r="C238" s="3" t="s">
        <v>31</v>
      </c>
      <c r="D238" s="3" t="s">
        <v>596</v>
      </c>
      <c r="E238" s="3" t="s">
        <v>151</v>
      </c>
    </row>
    <row r="239" spans="1:5" s="3" customFormat="1" x14ac:dyDescent="0.25">
      <c r="A239" s="3">
        <v>29636</v>
      </c>
      <c r="B239" s="3" t="s">
        <v>597</v>
      </c>
      <c r="C239" s="3" t="s">
        <v>42</v>
      </c>
      <c r="D239" s="3" t="s">
        <v>598</v>
      </c>
      <c r="E239" s="3" t="s">
        <v>151</v>
      </c>
    </row>
    <row r="240" spans="1:5" s="3" customFormat="1" x14ac:dyDescent="0.25">
      <c r="A240" s="3">
        <v>29637</v>
      </c>
      <c r="B240" s="3" t="s">
        <v>599</v>
      </c>
      <c r="C240" s="3" t="s">
        <v>586</v>
      </c>
      <c r="D240" s="3" t="s">
        <v>600</v>
      </c>
      <c r="E240" s="3" t="s">
        <v>151</v>
      </c>
    </row>
    <row r="241" spans="1:5" s="3" customFormat="1" x14ac:dyDescent="0.25">
      <c r="A241" s="3">
        <v>29645</v>
      </c>
      <c r="B241" s="3" t="s">
        <v>601</v>
      </c>
      <c r="C241" s="3" t="s">
        <v>39</v>
      </c>
      <c r="D241" s="3" t="s">
        <v>602</v>
      </c>
      <c r="E241" s="3" t="s">
        <v>151</v>
      </c>
    </row>
    <row r="242" spans="1:5" s="3" customFormat="1" x14ac:dyDescent="0.25">
      <c r="A242" s="3">
        <v>29657</v>
      </c>
      <c r="B242" s="3" t="s">
        <v>603</v>
      </c>
      <c r="C242" s="3" t="s">
        <v>115</v>
      </c>
      <c r="D242" s="3" t="s">
        <v>604</v>
      </c>
      <c r="E242" s="3" t="s">
        <v>151</v>
      </c>
    </row>
    <row r="243" spans="1:5" s="3" customFormat="1" x14ac:dyDescent="0.25">
      <c r="A243" s="3">
        <v>29676</v>
      </c>
      <c r="B243" s="3" t="s">
        <v>113</v>
      </c>
      <c r="C243" s="3" t="s">
        <v>115</v>
      </c>
      <c r="D243" s="3" t="s">
        <v>605</v>
      </c>
      <c r="E243" s="3" t="s">
        <v>151</v>
      </c>
    </row>
    <row r="244" spans="1:5" s="3" customFormat="1" x14ac:dyDescent="0.25">
      <c r="A244" s="3">
        <v>29677</v>
      </c>
      <c r="B244" s="3" t="s">
        <v>606</v>
      </c>
      <c r="C244" s="3" t="s">
        <v>39</v>
      </c>
      <c r="D244" s="3" t="s">
        <v>607</v>
      </c>
      <c r="E244" s="3" t="s">
        <v>151</v>
      </c>
    </row>
    <row r="245" spans="1:5" s="3" customFormat="1" x14ac:dyDescent="0.25">
      <c r="A245" s="3">
        <v>29683</v>
      </c>
      <c r="B245" s="3" t="s">
        <v>608</v>
      </c>
      <c r="C245" s="3" t="s">
        <v>540</v>
      </c>
      <c r="D245" s="3" t="s">
        <v>609</v>
      </c>
      <c r="E245" s="3" t="s">
        <v>151</v>
      </c>
    </row>
    <row r="246" spans="1:5" s="3" customFormat="1" x14ac:dyDescent="0.25">
      <c r="A246" s="3">
        <v>29685</v>
      </c>
      <c r="B246" s="3" t="s">
        <v>610</v>
      </c>
      <c r="C246" s="3" t="s">
        <v>611</v>
      </c>
      <c r="D246" s="3" t="s">
        <v>612</v>
      </c>
      <c r="E246" s="3" t="s">
        <v>151</v>
      </c>
    </row>
    <row r="247" spans="1:5" s="3" customFormat="1" x14ac:dyDescent="0.25">
      <c r="A247" s="3">
        <v>29691</v>
      </c>
      <c r="B247" s="3" t="s">
        <v>613</v>
      </c>
      <c r="C247" s="3" t="s">
        <v>115</v>
      </c>
      <c r="D247" s="3" t="s">
        <v>614</v>
      </c>
      <c r="E247" s="3" t="s">
        <v>151</v>
      </c>
    </row>
    <row r="248" spans="1:5" s="3" customFormat="1" x14ac:dyDescent="0.25">
      <c r="A248" s="3">
        <v>29692</v>
      </c>
      <c r="B248" s="3" t="s">
        <v>615</v>
      </c>
      <c r="C248" s="3" t="s">
        <v>572</v>
      </c>
      <c r="D248" s="3" t="s">
        <v>616</v>
      </c>
      <c r="E248" s="3" t="s">
        <v>151</v>
      </c>
    </row>
    <row r="249" spans="1:5" s="3" customFormat="1" x14ac:dyDescent="0.25">
      <c r="A249" s="3">
        <v>29710</v>
      </c>
      <c r="B249" s="3" t="s">
        <v>617</v>
      </c>
      <c r="C249" s="3" t="s">
        <v>196</v>
      </c>
      <c r="D249" s="3" t="s">
        <v>618</v>
      </c>
      <c r="E249" s="3" t="s">
        <v>151</v>
      </c>
    </row>
    <row r="250" spans="1:5" s="3" customFormat="1" x14ac:dyDescent="0.25">
      <c r="A250" s="3">
        <v>29743</v>
      </c>
      <c r="B250" s="3" t="s">
        <v>619</v>
      </c>
      <c r="C250" s="3" t="s">
        <v>42</v>
      </c>
      <c r="D250" s="3" t="s">
        <v>620</v>
      </c>
      <c r="E250" s="3" t="s">
        <v>151</v>
      </c>
    </row>
    <row r="251" spans="1:5" s="3" customFormat="1" x14ac:dyDescent="0.25">
      <c r="A251" s="3">
        <v>29745</v>
      </c>
      <c r="B251" s="3" t="s">
        <v>621</v>
      </c>
      <c r="C251" s="3" t="s">
        <v>115</v>
      </c>
      <c r="D251" s="3" t="s">
        <v>622</v>
      </c>
      <c r="E251" s="3" t="s">
        <v>151</v>
      </c>
    </row>
    <row r="252" spans="1:5" s="3" customFormat="1" x14ac:dyDescent="0.25">
      <c r="A252" s="3">
        <v>29749</v>
      </c>
      <c r="B252" s="3" t="s">
        <v>623</v>
      </c>
      <c r="C252" s="3" t="s">
        <v>19</v>
      </c>
      <c r="D252" s="3" t="s">
        <v>624</v>
      </c>
      <c r="E252" s="3" t="s">
        <v>151</v>
      </c>
    </row>
    <row r="253" spans="1:5" s="3" customFormat="1" x14ac:dyDescent="0.25">
      <c r="A253" s="3">
        <v>29772</v>
      </c>
      <c r="B253" s="3" t="s">
        <v>625</v>
      </c>
      <c r="C253" s="3" t="s">
        <v>69</v>
      </c>
      <c r="D253" s="3" t="s">
        <v>626</v>
      </c>
      <c r="E253" s="3" t="s">
        <v>151</v>
      </c>
    </row>
    <row r="254" spans="1:5" s="3" customFormat="1" x14ac:dyDescent="0.25">
      <c r="A254" s="3">
        <v>29774</v>
      </c>
      <c r="B254" s="3" t="s">
        <v>627</v>
      </c>
      <c r="C254" s="3" t="s">
        <v>147</v>
      </c>
      <c r="D254" s="3" t="s">
        <v>628</v>
      </c>
      <c r="E254" s="3" t="s">
        <v>151</v>
      </c>
    </row>
    <row r="255" spans="1:5" s="3" customFormat="1" x14ac:dyDescent="0.25">
      <c r="A255" s="3">
        <v>29800</v>
      </c>
      <c r="B255" s="3" t="s">
        <v>629</v>
      </c>
      <c r="C255" s="3" t="s">
        <v>39</v>
      </c>
      <c r="D255" s="3" t="s">
        <v>630</v>
      </c>
      <c r="E255" s="3" t="s">
        <v>151</v>
      </c>
    </row>
    <row r="256" spans="1:5" s="3" customFormat="1" x14ac:dyDescent="0.25">
      <c r="A256" s="3">
        <v>29809</v>
      </c>
      <c r="B256" s="3" t="s">
        <v>631</v>
      </c>
      <c r="C256" s="3" t="s">
        <v>39</v>
      </c>
      <c r="D256" s="3" t="s">
        <v>632</v>
      </c>
      <c r="E256" s="3" t="s">
        <v>151</v>
      </c>
    </row>
    <row r="257" spans="1:5" s="3" customFormat="1" x14ac:dyDescent="0.25">
      <c r="A257" s="3">
        <v>29813</v>
      </c>
      <c r="B257" s="3" t="s">
        <v>633</v>
      </c>
      <c r="C257" s="3" t="s">
        <v>19</v>
      </c>
      <c r="D257" s="3" t="s">
        <v>634</v>
      </c>
      <c r="E257" s="3" t="s">
        <v>151</v>
      </c>
    </row>
    <row r="258" spans="1:5" s="3" customFormat="1" x14ac:dyDescent="0.25">
      <c r="A258" s="3">
        <v>29835</v>
      </c>
      <c r="B258" s="3" t="s">
        <v>635</v>
      </c>
      <c r="C258" s="3" t="s">
        <v>23</v>
      </c>
      <c r="D258" s="3" t="s">
        <v>636</v>
      </c>
      <c r="E258" s="3" t="s">
        <v>151</v>
      </c>
    </row>
    <row r="259" spans="1:5" s="3" customFormat="1" x14ac:dyDescent="0.25">
      <c r="A259" s="3">
        <v>29838</v>
      </c>
      <c r="B259" s="3" t="s">
        <v>637</v>
      </c>
      <c r="C259" s="3" t="s">
        <v>19</v>
      </c>
      <c r="D259" s="3" t="s">
        <v>638</v>
      </c>
      <c r="E259" s="3" t="s">
        <v>151</v>
      </c>
    </row>
    <row r="260" spans="1:5" s="3" customFormat="1" x14ac:dyDescent="0.25">
      <c r="A260" s="3">
        <v>29842</v>
      </c>
      <c r="B260" s="3" t="s">
        <v>639</v>
      </c>
      <c r="C260" s="3" t="s">
        <v>23</v>
      </c>
      <c r="D260" s="3" t="s">
        <v>640</v>
      </c>
      <c r="E260" s="3" t="s">
        <v>151</v>
      </c>
    </row>
    <row r="261" spans="1:5" s="3" customFormat="1" x14ac:dyDescent="0.25">
      <c r="A261" s="3">
        <v>29846</v>
      </c>
      <c r="B261" s="3" t="s">
        <v>641</v>
      </c>
      <c r="C261" s="3" t="s">
        <v>453</v>
      </c>
      <c r="D261" s="3" t="s">
        <v>642</v>
      </c>
      <c r="E261" s="3" t="s">
        <v>151</v>
      </c>
    </row>
    <row r="262" spans="1:5" s="3" customFormat="1" x14ac:dyDescent="0.25">
      <c r="A262" s="3">
        <v>29857</v>
      </c>
      <c r="B262" s="3" t="s">
        <v>643</v>
      </c>
      <c r="C262" s="3" t="s">
        <v>134</v>
      </c>
      <c r="D262" s="3" t="s">
        <v>644</v>
      </c>
      <c r="E262" s="3" t="s">
        <v>151</v>
      </c>
    </row>
    <row r="263" spans="1:5" s="3" customFormat="1" x14ac:dyDescent="0.25">
      <c r="A263" s="3">
        <v>29874</v>
      </c>
      <c r="B263" s="3" t="s">
        <v>645</v>
      </c>
      <c r="C263" s="3" t="s">
        <v>453</v>
      </c>
      <c r="D263" s="3" t="s">
        <v>646</v>
      </c>
      <c r="E263" s="3" t="s">
        <v>151</v>
      </c>
    </row>
    <row r="264" spans="1:5" s="3" customFormat="1" x14ac:dyDescent="0.25">
      <c r="A264" s="3">
        <v>29881</v>
      </c>
      <c r="B264" s="3" t="s">
        <v>647</v>
      </c>
      <c r="C264" s="3" t="s">
        <v>196</v>
      </c>
      <c r="D264" s="3" t="s">
        <v>648</v>
      </c>
      <c r="E264" s="3" t="s">
        <v>151</v>
      </c>
    </row>
    <row r="265" spans="1:5" s="3" customFormat="1" x14ac:dyDescent="0.25">
      <c r="A265" s="3">
        <v>29904</v>
      </c>
      <c r="B265" s="3" t="s">
        <v>649</v>
      </c>
      <c r="C265" s="3" t="s">
        <v>540</v>
      </c>
      <c r="D265" s="3" t="s">
        <v>650</v>
      </c>
      <c r="E265" s="3" t="s">
        <v>151</v>
      </c>
    </row>
    <row r="266" spans="1:5" s="3" customFormat="1" x14ac:dyDescent="0.25">
      <c r="A266" s="3">
        <v>29910</v>
      </c>
      <c r="B266" s="3" t="s">
        <v>651</v>
      </c>
      <c r="C266" s="3" t="s">
        <v>196</v>
      </c>
      <c r="D266" s="3" t="s">
        <v>652</v>
      </c>
      <c r="E266" s="3" t="s">
        <v>151</v>
      </c>
    </row>
    <row r="267" spans="1:5" s="3" customFormat="1" x14ac:dyDescent="0.25">
      <c r="A267" s="3">
        <v>29933</v>
      </c>
      <c r="B267" s="3" t="s">
        <v>653</v>
      </c>
      <c r="C267" s="3" t="s">
        <v>196</v>
      </c>
      <c r="D267" s="3" t="s">
        <v>654</v>
      </c>
      <c r="E267" s="3" t="s">
        <v>151</v>
      </c>
    </row>
    <row r="268" spans="1:5" s="3" customFormat="1" x14ac:dyDescent="0.25">
      <c r="A268" s="3">
        <v>29937</v>
      </c>
      <c r="B268" s="3" t="s">
        <v>655</v>
      </c>
      <c r="C268" s="3" t="s">
        <v>147</v>
      </c>
      <c r="D268" s="3" t="s">
        <v>656</v>
      </c>
      <c r="E268" s="3" t="s">
        <v>151</v>
      </c>
    </row>
    <row r="269" spans="1:5" s="3" customFormat="1" x14ac:dyDescent="0.25">
      <c r="A269" s="3">
        <v>29941</v>
      </c>
      <c r="B269" s="3" t="s">
        <v>657</v>
      </c>
      <c r="C269" s="3" t="s">
        <v>36</v>
      </c>
      <c r="D269" s="3" t="s">
        <v>658</v>
      </c>
      <c r="E269" s="3" t="s">
        <v>151</v>
      </c>
    </row>
    <row r="270" spans="1:5" s="3" customFormat="1" x14ac:dyDescent="0.25">
      <c r="A270" s="3">
        <v>29966</v>
      </c>
      <c r="B270" s="3" t="s">
        <v>659</v>
      </c>
      <c r="C270" s="3" t="s">
        <v>19</v>
      </c>
      <c r="D270" s="3" t="s">
        <v>660</v>
      </c>
      <c r="E270" s="3" t="s">
        <v>151</v>
      </c>
    </row>
    <row r="271" spans="1:5" s="3" customFormat="1" x14ac:dyDescent="0.25">
      <c r="A271" s="3">
        <v>29975</v>
      </c>
      <c r="B271" s="3" t="s">
        <v>661</v>
      </c>
      <c r="C271" s="3" t="s">
        <v>19</v>
      </c>
      <c r="D271" s="3" t="s">
        <v>662</v>
      </c>
      <c r="E271" s="3" t="s">
        <v>151</v>
      </c>
    </row>
    <row r="272" spans="1:5" s="3" customFormat="1" x14ac:dyDescent="0.25">
      <c r="A272" s="3">
        <v>29988</v>
      </c>
      <c r="B272" s="3" t="s">
        <v>663</v>
      </c>
      <c r="C272" s="3" t="s">
        <v>134</v>
      </c>
      <c r="D272" s="3" t="s">
        <v>664</v>
      </c>
      <c r="E272" s="3" t="s">
        <v>151</v>
      </c>
    </row>
    <row r="273" spans="1:5" s="3" customFormat="1" x14ac:dyDescent="0.25">
      <c r="A273" s="3">
        <v>29995</v>
      </c>
      <c r="B273" s="3" t="s">
        <v>665</v>
      </c>
      <c r="C273" s="3" t="s">
        <v>141</v>
      </c>
      <c r="D273" s="3" t="s">
        <v>666</v>
      </c>
      <c r="E273" s="3" t="s">
        <v>151</v>
      </c>
    </row>
    <row r="274" spans="1:5" s="3" customFormat="1" x14ac:dyDescent="0.25">
      <c r="A274" s="3">
        <v>30012</v>
      </c>
      <c r="B274" s="3" t="s">
        <v>667</v>
      </c>
      <c r="C274" s="3" t="s">
        <v>19</v>
      </c>
      <c r="D274" s="3" t="s">
        <v>668</v>
      </c>
      <c r="E274" s="3" t="s">
        <v>151</v>
      </c>
    </row>
    <row r="275" spans="1:5" s="3" customFormat="1" x14ac:dyDescent="0.25">
      <c r="A275" s="3">
        <v>30039</v>
      </c>
      <c r="B275" s="3" t="s">
        <v>669</v>
      </c>
      <c r="C275" s="3" t="s">
        <v>36</v>
      </c>
      <c r="D275" s="3" t="s">
        <v>670</v>
      </c>
      <c r="E275" s="3" t="s">
        <v>151</v>
      </c>
    </row>
    <row r="276" spans="1:5" s="3" customFormat="1" x14ac:dyDescent="0.25">
      <c r="A276" s="3">
        <v>30043</v>
      </c>
      <c r="B276" s="3" t="s">
        <v>671</v>
      </c>
      <c r="C276" s="3" t="s">
        <v>39</v>
      </c>
      <c r="D276" s="3" t="s">
        <v>672</v>
      </c>
      <c r="E276" s="3" t="s">
        <v>151</v>
      </c>
    </row>
    <row r="277" spans="1:5" s="3" customFormat="1" x14ac:dyDescent="0.25">
      <c r="A277" s="3">
        <v>30058</v>
      </c>
      <c r="B277" s="3" t="s">
        <v>673</v>
      </c>
      <c r="C277" s="3" t="s">
        <v>196</v>
      </c>
      <c r="D277" s="3" t="s">
        <v>674</v>
      </c>
      <c r="E277" s="3" t="s">
        <v>151</v>
      </c>
    </row>
    <row r="278" spans="1:5" s="3" customFormat="1" x14ac:dyDescent="0.25">
      <c r="A278" s="3">
        <v>30065</v>
      </c>
      <c r="B278" s="3" t="s">
        <v>675</v>
      </c>
      <c r="C278" s="3" t="s">
        <v>196</v>
      </c>
      <c r="D278" s="3" t="s">
        <v>676</v>
      </c>
      <c r="E278" s="3" t="s">
        <v>151</v>
      </c>
    </row>
    <row r="279" spans="1:5" s="3" customFormat="1" x14ac:dyDescent="0.25">
      <c r="A279" s="3">
        <v>30072</v>
      </c>
      <c r="B279" s="3" t="s">
        <v>677</v>
      </c>
      <c r="C279" s="3" t="s">
        <v>36</v>
      </c>
      <c r="D279" s="3" t="s">
        <v>678</v>
      </c>
      <c r="E279" s="3" t="s">
        <v>151</v>
      </c>
    </row>
    <row r="280" spans="1:5" s="3" customFormat="1" x14ac:dyDescent="0.25">
      <c r="A280" s="3">
        <v>30076</v>
      </c>
      <c r="B280" s="3" t="s">
        <v>679</v>
      </c>
      <c r="C280" s="3" t="s">
        <v>36</v>
      </c>
      <c r="D280" s="3" t="s">
        <v>680</v>
      </c>
      <c r="E280" s="3" t="s">
        <v>151</v>
      </c>
    </row>
    <row r="281" spans="1:5" s="3" customFormat="1" x14ac:dyDescent="0.25">
      <c r="A281" s="3">
        <v>30084</v>
      </c>
      <c r="B281" s="3" t="s">
        <v>681</v>
      </c>
      <c r="C281" s="3" t="s">
        <v>19</v>
      </c>
      <c r="D281" s="3" t="s">
        <v>682</v>
      </c>
      <c r="E281" s="3" t="s">
        <v>151</v>
      </c>
    </row>
    <row r="282" spans="1:5" s="3" customFormat="1" x14ac:dyDescent="0.25">
      <c r="A282" s="3">
        <v>30103</v>
      </c>
      <c r="B282" s="3" t="s">
        <v>683</v>
      </c>
      <c r="C282" s="3" t="s">
        <v>36</v>
      </c>
      <c r="D282" s="3" t="s">
        <v>684</v>
      </c>
      <c r="E282" s="3" t="s">
        <v>151</v>
      </c>
    </row>
    <row r="283" spans="1:5" s="3" customFormat="1" x14ac:dyDescent="0.25">
      <c r="A283" s="3">
        <v>30111</v>
      </c>
      <c r="B283" s="3" t="s">
        <v>685</v>
      </c>
      <c r="C283" s="3" t="s">
        <v>61</v>
      </c>
      <c r="D283" s="3" t="s">
        <v>686</v>
      </c>
      <c r="E283" s="3" t="s">
        <v>151</v>
      </c>
    </row>
    <row r="284" spans="1:5" s="3" customFormat="1" x14ac:dyDescent="0.25">
      <c r="A284" s="3">
        <v>30117</v>
      </c>
      <c r="B284" s="3" t="s">
        <v>687</v>
      </c>
      <c r="C284" s="3" t="s">
        <v>141</v>
      </c>
      <c r="D284" s="3" t="s">
        <v>688</v>
      </c>
      <c r="E284" s="3" t="s">
        <v>151</v>
      </c>
    </row>
    <row r="285" spans="1:5" s="3" customFormat="1" x14ac:dyDescent="0.25">
      <c r="A285" s="3">
        <v>30119</v>
      </c>
      <c r="B285" s="3" t="s">
        <v>689</v>
      </c>
      <c r="C285" s="3" t="s">
        <v>141</v>
      </c>
      <c r="D285" s="3" t="s">
        <v>690</v>
      </c>
      <c r="E285" s="3" t="s">
        <v>151</v>
      </c>
    </row>
    <row r="286" spans="1:5" s="3" customFormat="1" x14ac:dyDescent="0.25">
      <c r="A286" s="3">
        <v>30121</v>
      </c>
      <c r="B286" s="3" t="s">
        <v>691</v>
      </c>
      <c r="C286" s="3" t="s">
        <v>141</v>
      </c>
      <c r="D286" s="3" t="s">
        <v>692</v>
      </c>
      <c r="E286" s="3" t="s">
        <v>151</v>
      </c>
    </row>
    <row r="287" spans="1:5" s="3" customFormat="1" x14ac:dyDescent="0.25">
      <c r="A287" s="3">
        <v>30128</v>
      </c>
      <c r="B287" s="3" t="s">
        <v>693</v>
      </c>
      <c r="C287" s="3" t="s">
        <v>196</v>
      </c>
      <c r="D287" s="3" t="s">
        <v>694</v>
      </c>
      <c r="E287" s="3" t="s">
        <v>151</v>
      </c>
    </row>
    <row r="288" spans="1:5" s="3" customFormat="1" x14ac:dyDescent="0.25">
      <c r="A288" s="3">
        <v>30150</v>
      </c>
      <c r="B288" s="3" t="s">
        <v>695</v>
      </c>
      <c r="C288" s="3" t="s">
        <v>134</v>
      </c>
      <c r="D288" s="3" t="s">
        <v>696</v>
      </c>
      <c r="E288" s="3" t="s">
        <v>151</v>
      </c>
    </row>
    <row r="289" spans="1:5" s="3" customFormat="1" x14ac:dyDescent="0.25">
      <c r="A289" s="3">
        <v>30154</v>
      </c>
      <c r="B289" s="3" t="s">
        <v>697</v>
      </c>
      <c r="C289" s="3" t="s">
        <v>141</v>
      </c>
      <c r="D289" s="3" t="s">
        <v>698</v>
      </c>
      <c r="E289" s="3" t="s">
        <v>151</v>
      </c>
    </row>
    <row r="290" spans="1:5" s="3" customFormat="1" x14ac:dyDescent="0.25">
      <c r="A290" s="3">
        <v>30155</v>
      </c>
      <c r="B290" s="3" t="s">
        <v>699</v>
      </c>
      <c r="C290" s="3" t="s">
        <v>141</v>
      </c>
      <c r="D290" s="3" t="s">
        <v>700</v>
      </c>
      <c r="E290" s="3" t="s">
        <v>151</v>
      </c>
    </row>
    <row r="291" spans="1:5" s="3" customFormat="1" x14ac:dyDescent="0.25">
      <c r="A291" s="3">
        <v>30176</v>
      </c>
      <c r="B291" s="3" t="s">
        <v>701</v>
      </c>
      <c r="C291" s="3" t="s">
        <v>19</v>
      </c>
      <c r="D291" s="3" t="s">
        <v>702</v>
      </c>
      <c r="E291" s="3" t="s">
        <v>151</v>
      </c>
    </row>
    <row r="292" spans="1:5" s="3" customFormat="1" x14ac:dyDescent="0.25">
      <c r="A292" s="3">
        <v>30183</v>
      </c>
      <c r="B292" s="3" t="s">
        <v>703</v>
      </c>
      <c r="C292" s="3" t="s">
        <v>36</v>
      </c>
      <c r="D292" s="3" t="s">
        <v>704</v>
      </c>
      <c r="E292" s="3" t="s">
        <v>151</v>
      </c>
    </row>
    <row r="293" spans="1:5" s="3" customFormat="1" x14ac:dyDescent="0.25">
      <c r="A293" s="3">
        <v>30260</v>
      </c>
      <c r="B293" s="3" t="s">
        <v>705</v>
      </c>
      <c r="C293" s="3" t="s">
        <v>49</v>
      </c>
      <c r="D293" s="3" t="s">
        <v>706</v>
      </c>
      <c r="E293" s="3" t="s">
        <v>151</v>
      </c>
    </row>
    <row r="294" spans="1:5" s="3" customFormat="1" x14ac:dyDescent="0.25">
      <c r="A294" s="3">
        <v>30270</v>
      </c>
      <c r="B294" s="3" t="s">
        <v>707</v>
      </c>
      <c r="C294" s="3" t="s">
        <v>344</v>
      </c>
      <c r="D294" s="3" t="s">
        <v>708</v>
      </c>
      <c r="E294" s="3" t="s">
        <v>151</v>
      </c>
    </row>
    <row r="295" spans="1:5" s="3" customFormat="1" x14ac:dyDescent="0.25">
      <c r="A295" s="3">
        <v>30303</v>
      </c>
      <c r="B295" s="3" t="s">
        <v>709</v>
      </c>
      <c r="C295" s="3" t="s">
        <v>49</v>
      </c>
      <c r="D295" s="3" t="s">
        <v>710</v>
      </c>
      <c r="E295" s="3" t="s">
        <v>151</v>
      </c>
    </row>
    <row r="296" spans="1:5" s="3" customFormat="1" x14ac:dyDescent="0.25">
      <c r="A296" s="3">
        <v>30313</v>
      </c>
      <c r="B296" s="3" t="s">
        <v>711</v>
      </c>
      <c r="C296" s="3" t="s">
        <v>115</v>
      </c>
      <c r="D296" s="3" t="s">
        <v>712</v>
      </c>
      <c r="E296" s="3" t="s">
        <v>151</v>
      </c>
    </row>
    <row r="297" spans="1:5" s="3" customFormat="1" x14ac:dyDescent="0.25">
      <c r="A297" s="3">
        <v>30315</v>
      </c>
      <c r="B297" s="3" t="s">
        <v>713</v>
      </c>
      <c r="C297" s="3" t="s">
        <v>64</v>
      </c>
      <c r="D297" s="3" t="s">
        <v>714</v>
      </c>
      <c r="E297" s="3" t="s">
        <v>151</v>
      </c>
    </row>
    <row r="298" spans="1:5" s="3" customFormat="1" x14ac:dyDescent="0.25">
      <c r="A298" s="3">
        <v>30332</v>
      </c>
      <c r="B298" s="3" t="s">
        <v>715</v>
      </c>
      <c r="C298" s="3" t="s">
        <v>344</v>
      </c>
      <c r="D298" s="3" t="s">
        <v>716</v>
      </c>
      <c r="E298" s="3" t="s">
        <v>151</v>
      </c>
    </row>
    <row r="299" spans="1:5" s="3" customFormat="1" x14ac:dyDescent="0.25">
      <c r="A299" s="3">
        <v>30350</v>
      </c>
      <c r="B299" s="3" t="s">
        <v>717</v>
      </c>
      <c r="C299" s="3" t="s">
        <v>155</v>
      </c>
      <c r="D299" s="3" t="s">
        <v>718</v>
      </c>
      <c r="E299" s="3" t="s">
        <v>151</v>
      </c>
    </row>
    <row r="300" spans="1:5" s="3" customFormat="1" x14ac:dyDescent="0.25">
      <c r="A300" s="3">
        <v>30357</v>
      </c>
      <c r="B300" s="3" t="s">
        <v>719</v>
      </c>
      <c r="C300" s="3" t="s">
        <v>39</v>
      </c>
      <c r="D300" s="3" t="s">
        <v>720</v>
      </c>
      <c r="E300" s="3" t="s">
        <v>151</v>
      </c>
    </row>
    <row r="301" spans="1:5" s="3" customFormat="1" x14ac:dyDescent="0.25">
      <c r="A301" s="3">
        <v>30358</v>
      </c>
      <c r="B301" s="3" t="s">
        <v>721</v>
      </c>
      <c r="C301" s="3" t="s">
        <v>64</v>
      </c>
      <c r="D301" s="3" t="s">
        <v>722</v>
      </c>
      <c r="E301" s="3" t="s">
        <v>151</v>
      </c>
    </row>
    <row r="302" spans="1:5" s="3" customFormat="1" x14ac:dyDescent="0.25">
      <c r="A302" s="3">
        <v>30367</v>
      </c>
      <c r="B302" s="3" t="s">
        <v>723</v>
      </c>
      <c r="C302" s="3" t="s">
        <v>36</v>
      </c>
      <c r="D302" s="3" t="s">
        <v>724</v>
      </c>
      <c r="E302" s="3" t="s">
        <v>151</v>
      </c>
    </row>
    <row r="303" spans="1:5" s="3" customFormat="1" x14ac:dyDescent="0.25">
      <c r="A303" s="3">
        <v>30388</v>
      </c>
      <c r="B303" s="3" t="s">
        <v>725</v>
      </c>
      <c r="C303" s="3" t="s">
        <v>393</v>
      </c>
      <c r="D303" s="3" t="s">
        <v>726</v>
      </c>
      <c r="E303" s="3" t="s">
        <v>151</v>
      </c>
    </row>
    <row r="304" spans="1:5" s="3" customFormat="1" x14ac:dyDescent="0.25">
      <c r="A304" s="3">
        <v>30395</v>
      </c>
      <c r="B304" s="3" t="s">
        <v>727</v>
      </c>
      <c r="C304" s="3" t="s">
        <v>572</v>
      </c>
      <c r="D304" s="3" t="s">
        <v>728</v>
      </c>
      <c r="E304" s="3" t="s">
        <v>151</v>
      </c>
    </row>
    <row r="305" spans="1:5" s="3" customFormat="1" x14ac:dyDescent="0.25">
      <c r="A305" s="3">
        <v>30397</v>
      </c>
      <c r="B305" s="3" t="s">
        <v>729</v>
      </c>
      <c r="C305" s="3" t="s">
        <v>49</v>
      </c>
      <c r="D305" s="3" t="s">
        <v>730</v>
      </c>
      <c r="E305" s="3" t="s">
        <v>151</v>
      </c>
    </row>
    <row r="306" spans="1:5" s="3" customFormat="1" x14ac:dyDescent="0.25">
      <c r="A306" s="3">
        <v>30401</v>
      </c>
      <c r="B306" s="3" t="s">
        <v>731</v>
      </c>
      <c r="C306" s="3" t="s">
        <v>141</v>
      </c>
      <c r="D306" s="3" t="s">
        <v>732</v>
      </c>
      <c r="E306" s="3" t="s">
        <v>151</v>
      </c>
    </row>
    <row r="307" spans="1:5" s="3" customFormat="1" x14ac:dyDescent="0.25">
      <c r="A307" s="3">
        <v>30402</v>
      </c>
      <c r="B307" s="3" t="s">
        <v>733</v>
      </c>
      <c r="C307" s="3" t="s">
        <v>36</v>
      </c>
      <c r="D307" s="3" t="s">
        <v>734</v>
      </c>
      <c r="E307" s="3" t="s">
        <v>151</v>
      </c>
    </row>
    <row r="308" spans="1:5" s="3" customFormat="1" x14ac:dyDescent="0.25">
      <c r="A308" s="3">
        <v>30428</v>
      </c>
      <c r="B308" s="3" t="s">
        <v>735</v>
      </c>
      <c r="C308" s="3" t="s">
        <v>36</v>
      </c>
      <c r="D308" s="3" t="s">
        <v>736</v>
      </c>
      <c r="E308" s="3" t="s">
        <v>151</v>
      </c>
    </row>
    <row r="309" spans="1:5" s="3" customFormat="1" x14ac:dyDescent="0.25">
      <c r="A309" s="3">
        <v>30429</v>
      </c>
      <c r="B309" s="3" t="s">
        <v>737</v>
      </c>
      <c r="C309" s="3" t="s">
        <v>49</v>
      </c>
      <c r="D309" s="3" t="s">
        <v>738</v>
      </c>
      <c r="E309" s="3" t="s">
        <v>151</v>
      </c>
    </row>
    <row r="310" spans="1:5" s="3" customFormat="1" x14ac:dyDescent="0.25">
      <c r="A310" s="3">
        <v>30431</v>
      </c>
      <c r="B310" s="3" t="s">
        <v>739</v>
      </c>
      <c r="C310" s="3" t="s">
        <v>141</v>
      </c>
      <c r="D310" s="3" t="s">
        <v>740</v>
      </c>
      <c r="E310" s="3" t="s">
        <v>151</v>
      </c>
    </row>
    <row r="311" spans="1:5" s="3" customFormat="1" x14ac:dyDescent="0.25">
      <c r="A311" s="3">
        <v>30434</v>
      </c>
      <c r="B311" s="3" t="s">
        <v>741</v>
      </c>
      <c r="C311" s="3" t="s">
        <v>64</v>
      </c>
      <c r="D311" s="3" t="s">
        <v>742</v>
      </c>
      <c r="E311" s="3" t="s">
        <v>151</v>
      </c>
    </row>
    <row r="312" spans="1:5" s="3" customFormat="1" x14ac:dyDescent="0.25">
      <c r="A312" s="3">
        <v>30441</v>
      </c>
      <c r="B312" s="3" t="s">
        <v>743</v>
      </c>
      <c r="C312" s="3" t="s">
        <v>344</v>
      </c>
      <c r="D312" s="3" t="s">
        <v>744</v>
      </c>
      <c r="E312" s="3" t="s">
        <v>151</v>
      </c>
    </row>
    <row r="313" spans="1:5" s="3" customFormat="1" x14ac:dyDescent="0.25">
      <c r="A313" s="3">
        <v>30447</v>
      </c>
      <c r="B313" s="3" t="s">
        <v>745</v>
      </c>
      <c r="C313" s="3" t="s">
        <v>344</v>
      </c>
      <c r="D313" s="3" t="s">
        <v>746</v>
      </c>
      <c r="E313" s="3" t="s">
        <v>151</v>
      </c>
    </row>
    <row r="314" spans="1:5" s="3" customFormat="1" x14ac:dyDescent="0.25">
      <c r="A314" s="3">
        <v>30470</v>
      </c>
      <c r="B314" s="3" t="s">
        <v>747</v>
      </c>
      <c r="C314" s="3" t="s">
        <v>36</v>
      </c>
      <c r="D314" s="3" t="s">
        <v>748</v>
      </c>
      <c r="E314" s="3" t="s">
        <v>151</v>
      </c>
    </row>
    <row r="315" spans="1:5" s="3" customFormat="1" x14ac:dyDescent="0.25">
      <c r="A315" s="3">
        <v>30516</v>
      </c>
      <c r="B315" s="3" t="s">
        <v>749</v>
      </c>
      <c r="C315" s="3" t="s">
        <v>115</v>
      </c>
      <c r="D315" s="3" t="s">
        <v>750</v>
      </c>
      <c r="E315" s="3" t="s">
        <v>151</v>
      </c>
    </row>
    <row r="316" spans="1:5" s="3" customFormat="1" x14ac:dyDescent="0.25">
      <c r="A316" s="3">
        <v>30530</v>
      </c>
      <c r="B316" s="3" t="s">
        <v>116</v>
      </c>
      <c r="C316" s="3" t="s">
        <v>49</v>
      </c>
      <c r="D316" s="3" t="s">
        <v>751</v>
      </c>
      <c r="E316" s="3" t="s">
        <v>151</v>
      </c>
    </row>
    <row r="317" spans="1:5" s="3" customFormat="1" x14ac:dyDescent="0.25">
      <c r="A317" s="3">
        <v>30544</v>
      </c>
      <c r="B317" s="3" t="s">
        <v>752</v>
      </c>
      <c r="C317" s="3" t="s">
        <v>141</v>
      </c>
      <c r="D317" s="3" t="s">
        <v>753</v>
      </c>
      <c r="E317" s="3" t="s">
        <v>151</v>
      </c>
    </row>
    <row r="318" spans="1:5" s="3" customFormat="1" x14ac:dyDescent="0.25">
      <c r="A318" s="3">
        <v>30551</v>
      </c>
      <c r="B318" s="3" t="s">
        <v>754</v>
      </c>
      <c r="C318" s="3" t="s">
        <v>141</v>
      </c>
      <c r="D318" s="3" t="s">
        <v>755</v>
      </c>
      <c r="E318" s="3" t="s">
        <v>151</v>
      </c>
    </row>
    <row r="319" spans="1:5" s="3" customFormat="1" x14ac:dyDescent="0.25">
      <c r="A319" s="3">
        <v>30585</v>
      </c>
      <c r="B319" s="3" t="s">
        <v>756</v>
      </c>
      <c r="C319" s="3" t="s">
        <v>115</v>
      </c>
      <c r="D319" s="3" t="s">
        <v>757</v>
      </c>
      <c r="E319" s="3" t="s">
        <v>151</v>
      </c>
    </row>
    <row r="320" spans="1:5" s="3" customFormat="1" x14ac:dyDescent="0.25">
      <c r="A320" s="3">
        <v>30619</v>
      </c>
      <c r="B320" s="3" t="s">
        <v>758</v>
      </c>
      <c r="C320" s="3" t="s">
        <v>61</v>
      </c>
      <c r="D320" s="3" t="s">
        <v>759</v>
      </c>
      <c r="E320" s="3" t="s">
        <v>151</v>
      </c>
    </row>
    <row r="321" spans="1:5" s="3" customFormat="1" x14ac:dyDescent="0.25">
      <c r="A321" s="3">
        <v>30637</v>
      </c>
      <c r="B321" s="3" t="s">
        <v>760</v>
      </c>
      <c r="C321" s="3" t="s">
        <v>141</v>
      </c>
      <c r="D321" s="3" t="s">
        <v>761</v>
      </c>
      <c r="E321" s="3" t="s">
        <v>151</v>
      </c>
    </row>
    <row r="322" spans="1:5" s="3" customFormat="1" x14ac:dyDescent="0.25">
      <c r="A322" s="3">
        <v>30656</v>
      </c>
      <c r="B322" s="3" t="s">
        <v>762</v>
      </c>
      <c r="C322" s="3" t="s">
        <v>39</v>
      </c>
      <c r="D322" s="3" t="s">
        <v>763</v>
      </c>
      <c r="E322" s="3" t="s">
        <v>151</v>
      </c>
    </row>
    <row r="323" spans="1:5" s="3" customFormat="1" x14ac:dyDescent="0.25">
      <c r="A323" s="3">
        <v>30680</v>
      </c>
      <c r="B323" s="3" t="s">
        <v>764</v>
      </c>
      <c r="C323" s="3" t="s">
        <v>97</v>
      </c>
      <c r="D323" s="3" t="s">
        <v>765</v>
      </c>
      <c r="E323" s="3" t="s">
        <v>151</v>
      </c>
    </row>
    <row r="324" spans="1:5" s="3" customFormat="1" x14ac:dyDescent="0.25">
      <c r="A324" s="3">
        <v>30688</v>
      </c>
      <c r="B324" s="3" t="s">
        <v>766</v>
      </c>
      <c r="C324" s="3" t="s">
        <v>19</v>
      </c>
      <c r="D324" s="3" t="s">
        <v>767</v>
      </c>
      <c r="E324" s="3" t="s">
        <v>151</v>
      </c>
    </row>
    <row r="325" spans="1:5" s="3" customFormat="1" x14ac:dyDescent="0.25">
      <c r="A325" s="3">
        <v>30812</v>
      </c>
      <c r="B325" s="3" t="s">
        <v>71</v>
      </c>
      <c r="C325" s="3" t="s">
        <v>72</v>
      </c>
      <c r="D325" s="3" t="s">
        <v>768</v>
      </c>
      <c r="E325" s="3" t="s">
        <v>151</v>
      </c>
    </row>
    <row r="326" spans="1:5" s="3" customFormat="1" x14ac:dyDescent="0.25">
      <c r="A326" s="3">
        <v>30819</v>
      </c>
      <c r="B326" s="3" t="s">
        <v>769</v>
      </c>
      <c r="C326" s="3" t="s">
        <v>39</v>
      </c>
      <c r="D326" s="3" t="s">
        <v>770</v>
      </c>
      <c r="E326" s="3" t="s">
        <v>151</v>
      </c>
    </row>
    <row r="327" spans="1:5" s="3" customFormat="1" x14ac:dyDescent="0.25">
      <c r="A327" s="3">
        <v>30878</v>
      </c>
      <c r="B327" s="3" t="s">
        <v>771</v>
      </c>
      <c r="C327" s="3" t="s">
        <v>42</v>
      </c>
      <c r="D327" s="3" t="s">
        <v>772</v>
      </c>
      <c r="E327" s="3" t="s">
        <v>151</v>
      </c>
    </row>
    <row r="328" spans="1:5" s="3" customFormat="1" x14ac:dyDescent="0.25">
      <c r="A328" s="3">
        <v>30889</v>
      </c>
      <c r="B328" s="3" t="s">
        <v>773</v>
      </c>
      <c r="C328" s="3" t="s">
        <v>19</v>
      </c>
      <c r="D328" s="3" t="s">
        <v>774</v>
      </c>
      <c r="E328" s="3" t="s">
        <v>151</v>
      </c>
    </row>
    <row r="329" spans="1:5" s="3" customFormat="1" x14ac:dyDescent="0.25">
      <c r="A329" s="3">
        <v>30969</v>
      </c>
      <c r="B329" s="3" t="s">
        <v>775</v>
      </c>
      <c r="C329" s="3" t="s">
        <v>39</v>
      </c>
      <c r="D329" s="3" t="s">
        <v>776</v>
      </c>
      <c r="E329" s="3" t="s">
        <v>151</v>
      </c>
    </row>
    <row r="330" spans="1:5" s="3" customFormat="1" x14ac:dyDescent="0.25">
      <c r="A330" s="3">
        <v>30976</v>
      </c>
      <c r="B330" s="3" t="s">
        <v>777</v>
      </c>
      <c r="C330" s="3" t="s">
        <v>49</v>
      </c>
      <c r="D330" s="3" t="s">
        <v>778</v>
      </c>
      <c r="E330" s="3" t="s">
        <v>151</v>
      </c>
    </row>
    <row r="331" spans="1:5" s="3" customFormat="1" x14ac:dyDescent="0.25">
      <c r="A331" s="3">
        <v>30987</v>
      </c>
      <c r="B331" s="3" t="s">
        <v>779</v>
      </c>
      <c r="C331" s="3" t="s">
        <v>61</v>
      </c>
      <c r="D331" s="3" t="s">
        <v>780</v>
      </c>
      <c r="E331" s="3" t="s">
        <v>151</v>
      </c>
    </row>
    <row r="332" spans="1:5" s="3" customFormat="1" x14ac:dyDescent="0.25">
      <c r="A332" s="3">
        <v>31083</v>
      </c>
      <c r="B332" s="3" t="s">
        <v>781</v>
      </c>
      <c r="C332" s="3" t="s">
        <v>97</v>
      </c>
      <c r="D332" s="3" t="s">
        <v>782</v>
      </c>
      <c r="E332" s="3" t="s">
        <v>151</v>
      </c>
    </row>
    <row r="333" spans="1:5" s="3" customFormat="1" x14ac:dyDescent="0.25">
      <c r="A333" s="3">
        <v>31090</v>
      </c>
      <c r="B333" s="3" t="s">
        <v>783</v>
      </c>
      <c r="C333" s="3" t="s">
        <v>147</v>
      </c>
      <c r="D333" s="3" t="s">
        <v>784</v>
      </c>
      <c r="E333" s="3" t="s">
        <v>151</v>
      </c>
    </row>
    <row r="334" spans="1:5" s="3" customFormat="1" x14ac:dyDescent="0.25">
      <c r="A334" s="3">
        <v>31184</v>
      </c>
      <c r="B334" s="3" t="s">
        <v>707</v>
      </c>
      <c r="C334" s="3" t="s">
        <v>141</v>
      </c>
      <c r="D334" s="3" t="s">
        <v>785</v>
      </c>
      <c r="E334" s="3" t="s">
        <v>151</v>
      </c>
    </row>
    <row r="335" spans="1:5" s="3" customFormat="1" x14ac:dyDescent="0.25">
      <c r="A335" s="3">
        <v>31198</v>
      </c>
      <c r="B335" s="3" t="s">
        <v>786</v>
      </c>
      <c r="C335" s="3" t="s">
        <v>540</v>
      </c>
      <c r="D335" s="3" t="s">
        <v>787</v>
      </c>
      <c r="E335" s="3" t="s">
        <v>151</v>
      </c>
    </row>
    <row r="336" spans="1:5" s="3" customFormat="1" x14ac:dyDescent="0.25">
      <c r="A336" s="3">
        <v>31217</v>
      </c>
      <c r="B336" s="3" t="s">
        <v>788</v>
      </c>
      <c r="C336" s="3" t="s">
        <v>64</v>
      </c>
      <c r="D336" s="3" t="s">
        <v>789</v>
      </c>
      <c r="E336" s="3" t="s">
        <v>151</v>
      </c>
    </row>
    <row r="337" spans="1:5" s="3" customFormat="1" x14ac:dyDescent="0.25">
      <c r="A337" s="3">
        <v>31232</v>
      </c>
      <c r="B337" s="3" t="s">
        <v>790</v>
      </c>
      <c r="C337" s="3" t="s">
        <v>540</v>
      </c>
      <c r="D337" s="3" t="s">
        <v>791</v>
      </c>
      <c r="E337" s="3" t="s">
        <v>151</v>
      </c>
    </row>
    <row r="338" spans="1:5" s="3" customFormat="1" x14ac:dyDescent="0.25">
      <c r="A338" s="3">
        <v>31266</v>
      </c>
      <c r="B338" s="3" t="s">
        <v>792</v>
      </c>
      <c r="C338" s="3" t="s">
        <v>64</v>
      </c>
      <c r="D338" s="3" t="s">
        <v>793</v>
      </c>
      <c r="E338" s="3" t="s">
        <v>151</v>
      </c>
    </row>
    <row r="339" spans="1:5" s="3" customFormat="1" x14ac:dyDescent="0.25">
      <c r="A339" s="3">
        <v>31267</v>
      </c>
      <c r="B339" s="3" t="s">
        <v>794</v>
      </c>
      <c r="C339" s="3" t="s">
        <v>97</v>
      </c>
      <c r="D339" s="3" t="s">
        <v>795</v>
      </c>
      <c r="E339" s="3" t="s">
        <v>151</v>
      </c>
    </row>
    <row r="340" spans="1:5" s="3" customFormat="1" x14ac:dyDescent="0.25">
      <c r="A340" s="3">
        <v>31313</v>
      </c>
      <c r="B340" s="3" t="s">
        <v>796</v>
      </c>
      <c r="C340" s="3" t="s">
        <v>797</v>
      </c>
      <c r="D340" s="3" t="s">
        <v>798</v>
      </c>
      <c r="E340" s="3" t="s">
        <v>151</v>
      </c>
    </row>
    <row r="341" spans="1:5" s="3" customFormat="1" x14ac:dyDescent="0.25">
      <c r="A341" s="3">
        <v>31329</v>
      </c>
      <c r="B341" s="3" t="s">
        <v>799</v>
      </c>
      <c r="C341" s="3" t="s">
        <v>371</v>
      </c>
      <c r="D341" s="3" t="s">
        <v>800</v>
      </c>
      <c r="E341" s="3" t="s">
        <v>151</v>
      </c>
    </row>
    <row r="342" spans="1:5" s="3" customFormat="1" x14ac:dyDescent="0.25">
      <c r="A342" s="3">
        <v>31345</v>
      </c>
      <c r="B342" s="3" t="s">
        <v>801</v>
      </c>
      <c r="C342" s="3" t="s">
        <v>64</v>
      </c>
      <c r="D342" s="3" t="s">
        <v>802</v>
      </c>
      <c r="E342" s="3" t="s">
        <v>151</v>
      </c>
    </row>
    <row r="343" spans="1:5" s="3" customFormat="1" x14ac:dyDescent="0.25">
      <c r="A343" s="3">
        <v>31406</v>
      </c>
      <c r="B343" s="3" t="s">
        <v>803</v>
      </c>
      <c r="C343" s="3" t="s">
        <v>804</v>
      </c>
      <c r="D343" s="3" t="s">
        <v>805</v>
      </c>
      <c r="E343" s="3" t="s">
        <v>151</v>
      </c>
    </row>
    <row r="344" spans="1:5" s="3" customFormat="1" x14ac:dyDescent="0.25">
      <c r="A344" s="3">
        <v>31409</v>
      </c>
      <c r="B344" s="3" t="s">
        <v>71</v>
      </c>
      <c r="C344" s="3" t="s">
        <v>147</v>
      </c>
      <c r="D344" s="3" t="s">
        <v>806</v>
      </c>
      <c r="E344" s="3" t="s">
        <v>151</v>
      </c>
    </row>
    <row r="345" spans="1:5" s="3" customFormat="1" x14ac:dyDescent="0.25">
      <c r="A345" s="3">
        <v>31410</v>
      </c>
      <c r="B345" s="3" t="s">
        <v>807</v>
      </c>
      <c r="C345" s="3" t="s">
        <v>61</v>
      </c>
      <c r="D345" s="3" t="s">
        <v>808</v>
      </c>
      <c r="E345" s="3" t="s">
        <v>151</v>
      </c>
    </row>
    <row r="346" spans="1:5" s="3" customFormat="1" x14ac:dyDescent="0.25">
      <c r="A346" s="3">
        <v>31539</v>
      </c>
      <c r="B346" s="3" t="s">
        <v>809</v>
      </c>
      <c r="C346" s="3" t="s">
        <v>19</v>
      </c>
      <c r="D346" s="3" t="s">
        <v>810</v>
      </c>
      <c r="E346" s="3" t="s">
        <v>151</v>
      </c>
    </row>
    <row r="347" spans="1:5" s="3" customFormat="1" x14ac:dyDescent="0.25">
      <c r="A347" s="3">
        <v>31694</v>
      </c>
      <c r="B347" s="3" t="s">
        <v>811</v>
      </c>
      <c r="C347" s="3" t="s">
        <v>540</v>
      </c>
      <c r="D347" s="3" t="s">
        <v>812</v>
      </c>
      <c r="E347" s="3" t="s">
        <v>151</v>
      </c>
    </row>
    <row r="348" spans="1:5" s="3" customFormat="1" x14ac:dyDescent="0.25">
      <c r="A348" s="3">
        <v>31723</v>
      </c>
      <c r="B348" s="3" t="s">
        <v>813</v>
      </c>
      <c r="C348" s="3" t="s">
        <v>147</v>
      </c>
      <c r="D348" s="3" t="s">
        <v>814</v>
      </c>
      <c r="E348" s="3" t="s">
        <v>151</v>
      </c>
    </row>
    <row r="349" spans="1:5" s="3" customFormat="1" x14ac:dyDescent="0.25">
      <c r="A349" s="3">
        <v>31774</v>
      </c>
      <c r="B349" s="3" t="s">
        <v>815</v>
      </c>
      <c r="C349" s="3" t="s">
        <v>61</v>
      </c>
      <c r="D349" s="3" t="s">
        <v>816</v>
      </c>
      <c r="E349" s="3" t="s">
        <v>151</v>
      </c>
    </row>
    <row r="350" spans="1:5" s="3" customFormat="1" x14ac:dyDescent="0.25">
      <c r="A350" s="3">
        <v>31900</v>
      </c>
      <c r="B350" s="3" t="s">
        <v>817</v>
      </c>
      <c r="C350" s="3" t="s">
        <v>61</v>
      </c>
      <c r="D350" s="3" t="s">
        <v>818</v>
      </c>
      <c r="E350" s="3" t="s">
        <v>151</v>
      </c>
    </row>
    <row r="351" spans="1:5" s="3" customFormat="1" x14ac:dyDescent="0.25">
      <c r="A351" s="3">
        <v>31994</v>
      </c>
      <c r="B351" s="3" t="s">
        <v>819</v>
      </c>
      <c r="C351" s="3" t="s">
        <v>141</v>
      </c>
      <c r="D351" s="3" t="s">
        <v>820</v>
      </c>
      <c r="E351" s="3" t="s">
        <v>151</v>
      </c>
    </row>
    <row r="352" spans="1:5" s="3" customFormat="1" x14ac:dyDescent="0.25">
      <c r="A352" s="3">
        <v>32245</v>
      </c>
      <c r="B352" s="3" t="s">
        <v>821</v>
      </c>
      <c r="C352" s="3" t="s">
        <v>141</v>
      </c>
      <c r="D352" s="3" t="s">
        <v>822</v>
      </c>
      <c r="E352" s="3" t="s">
        <v>151</v>
      </c>
    </row>
    <row r="353" spans="1:5" s="3" customFormat="1" x14ac:dyDescent="0.25">
      <c r="A353" s="3">
        <v>32286</v>
      </c>
      <c r="B353" s="3" t="s">
        <v>487</v>
      </c>
      <c r="C353" s="3" t="s">
        <v>19</v>
      </c>
      <c r="D353" s="3" t="s">
        <v>823</v>
      </c>
      <c r="E353" s="3" t="s">
        <v>151</v>
      </c>
    </row>
    <row r="354" spans="1:5" s="3" customFormat="1" x14ac:dyDescent="0.25">
      <c r="A354" s="3">
        <v>32293</v>
      </c>
      <c r="B354" s="3" t="s">
        <v>824</v>
      </c>
      <c r="C354" s="3" t="s">
        <v>19</v>
      </c>
      <c r="D354" s="3" t="s">
        <v>825</v>
      </c>
      <c r="E354" s="3" t="s">
        <v>151</v>
      </c>
    </row>
    <row r="355" spans="1:5" s="3" customFormat="1" x14ac:dyDescent="0.25">
      <c r="A355" s="3">
        <v>32307</v>
      </c>
      <c r="B355" s="3" t="s">
        <v>826</v>
      </c>
      <c r="C355" s="3" t="s">
        <v>19</v>
      </c>
      <c r="D355" s="3" t="s">
        <v>827</v>
      </c>
      <c r="E355" s="3" t="s">
        <v>151</v>
      </c>
    </row>
    <row r="356" spans="1:5" s="3" customFormat="1" x14ac:dyDescent="0.25">
      <c r="A356" s="3">
        <v>32348</v>
      </c>
      <c r="B356" s="3" t="s">
        <v>828</v>
      </c>
      <c r="C356" s="3" t="s">
        <v>64</v>
      </c>
      <c r="D356" s="3" t="s">
        <v>829</v>
      </c>
      <c r="E356" s="3" t="s">
        <v>151</v>
      </c>
    </row>
    <row r="357" spans="1:5" s="3" customFormat="1" x14ac:dyDescent="0.25">
      <c r="A357" s="3">
        <v>32527</v>
      </c>
      <c r="B357" s="3" t="s">
        <v>830</v>
      </c>
      <c r="C357" s="3" t="s">
        <v>97</v>
      </c>
      <c r="D357" s="3" t="s">
        <v>831</v>
      </c>
      <c r="E357" s="3" t="s">
        <v>151</v>
      </c>
    </row>
    <row r="358" spans="1:5" s="3" customFormat="1" x14ac:dyDescent="0.25">
      <c r="A358" s="3">
        <v>33645</v>
      </c>
      <c r="B358" s="3" t="s">
        <v>832</v>
      </c>
      <c r="C358" s="3" t="s">
        <v>23</v>
      </c>
      <c r="D358" s="3" t="s">
        <v>833</v>
      </c>
      <c r="E358" s="3" t="s">
        <v>151</v>
      </c>
    </row>
    <row r="359" spans="1:5" s="3" customFormat="1" x14ac:dyDescent="0.25">
      <c r="A359" s="3">
        <v>33802</v>
      </c>
      <c r="B359" s="3" t="s">
        <v>834</v>
      </c>
      <c r="C359" s="3" t="s">
        <v>141</v>
      </c>
      <c r="D359" s="3" t="s">
        <v>835</v>
      </c>
      <c r="E359" s="3" t="s">
        <v>151</v>
      </c>
    </row>
    <row r="360" spans="1:5" s="3" customFormat="1" x14ac:dyDescent="0.25">
      <c r="A360" s="3">
        <v>34058</v>
      </c>
      <c r="B360" s="3" t="s">
        <v>836</v>
      </c>
      <c r="C360" s="3" t="s">
        <v>36</v>
      </c>
      <c r="D360" s="3" t="s">
        <v>837</v>
      </c>
      <c r="E360" s="3" t="s">
        <v>151</v>
      </c>
    </row>
    <row r="361" spans="1:5" s="3" customFormat="1" x14ac:dyDescent="0.25">
      <c r="A361" s="3">
        <v>57710</v>
      </c>
      <c r="B361" s="3" t="s">
        <v>838</v>
      </c>
      <c r="C361" s="3" t="s">
        <v>49</v>
      </c>
      <c r="D361" s="3" t="s">
        <v>264</v>
      </c>
      <c r="E361" s="3" t="s">
        <v>151</v>
      </c>
    </row>
    <row r="362" spans="1:5" s="3" customFormat="1" x14ac:dyDescent="0.25">
      <c r="A362" s="3">
        <v>58536</v>
      </c>
      <c r="B362" s="3" t="s">
        <v>839</v>
      </c>
      <c r="C362" s="3" t="s">
        <v>28</v>
      </c>
      <c r="D362" s="3" t="s">
        <v>840</v>
      </c>
      <c r="E362" s="3" t="s">
        <v>151</v>
      </c>
    </row>
    <row r="363" spans="1:5" s="3" customFormat="1" x14ac:dyDescent="0.25">
      <c r="A363" s="3">
        <v>59289</v>
      </c>
      <c r="B363" s="3" t="s">
        <v>841</v>
      </c>
      <c r="C363" s="3" t="s">
        <v>188</v>
      </c>
      <c r="D363" s="3" t="s">
        <v>842</v>
      </c>
      <c r="E363" s="3" t="s">
        <v>151</v>
      </c>
    </row>
    <row r="364" spans="1:5" s="3" customFormat="1" x14ac:dyDescent="0.25">
      <c r="A364" s="3">
        <v>90140</v>
      </c>
      <c r="B364" s="3" t="s">
        <v>843</v>
      </c>
      <c r="C364" s="3" t="s">
        <v>23</v>
      </c>
      <c r="D364" s="3" t="s">
        <v>844</v>
      </c>
      <c r="E364" s="3" t="s">
        <v>151</v>
      </c>
    </row>
    <row r="365" spans="1:5" s="3" customFormat="1" x14ac:dyDescent="0.25">
      <c r="A365" s="3">
        <v>90169</v>
      </c>
      <c r="B365" s="3" t="s">
        <v>845</v>
      </c>
      <c r="C365" s="3" t="s">
        <v>23</v>
      </c>
      <c r="D365" s="3" t="s">
        <v>846</v>
      </c>
      <c r="E365" s="3" t="s">
        <v>151</v>
      </c>
    </row>
    <row r="366" spans="1:5" s="3" customFormat="1" x14ac:dyDescent="0.25">
      <c r="A366" s="3">
        <v>90173</v>
      </c>
      <c r="B366" s="3" t="s">
        <v>847</v>
      </c>
      <c r="C366" s="3" t="s">
        <v>23</v>
      </c>
      <c r="D366" s="3" t="s">
        <v>848</v>
      </c>
      <c r="E366" s="3" t="s">
        <v>151</v>
      </c>
    </row>
    <row r="367" spans="1:5" s="3" customFormat="1" x14ac:dyDescent="0.25">
      <c r="A367" s="3">
        <v>90175</v>
      </c>
      <c r="B367" s="3" t="s">
        <v>849</v>
      </c>
      <c r="C367" s="3" t="s">
        <v>23</v>
      </c>
      <c r="D367" s="3" t="s">
        <v>850</v>
      </c>
      <c r="E367" s="3" t="s">
        <v>151</v>
      </c>
    </row>
    <row r="368" spans="1:5" s="3" customFormat="1" x14ac:dyDescent="0.25">
      <c r="A368" s="3">
        <v>90181</v>
      </c>
      <c r="B368" s="3" t="s">
        <v>851</v>
      </c>
      <c r="C368" s="3" t="s">
        <v>23</v>
      </c>
      <c r="D368" s="3" t="s">
        <v>852</v>
      </c>
      <c r="E368" s="3" t="s">
        <v>151</v>
      </c>
    </row>
    <row r="369" spans="1:5" s="3" customFormat="1" x14ac:dyDescent="0.25">
      <c r="A369" s="3">
        <v>90183</v>
      </c>
      <c r="B369" s="3" t="s">
        <v>853</v>
      </c>
      <c r="C369" s="3" t="s">
        <v>23</v>
      </c>
      <c r="D369" s="3" t="s">
        <v>854</v>
      </c>
      <c r="E369" s="3" t="s">
        <v>151</v>
      </c>
    </row>
    <row r="370" spans="1:5" s="3" customFormat="1" x14ac:dyDescent="0.25">
      <c r="A370" s="3">
        <v>90188</v>
      </c>
      <c r="B370" s="3" t="s">
        <v>118</v>
      </c>
      <c r="C370" s="3" t="s">
        <v>23</v>
      </c>
      <c r="D370" s="3" t="s">
        <v>855</v>
      </c>
      <c r="E370" s="3" t="s">
        <v>151</v>
      </c>
    </row>
    <row r="371" spans="1:5" s="3" customFormat="1" x14ac:dyDescent="0.25">
      <c r="A371" s="3">
        <v>90190</v>
      </c>
      <c r="B371" s="3" t="s">
        <v>856</v>
      </c>
      <c r="C371" s="3" t="s">
        <v>23</v>
      </c>
      <c r="D371" s="3" t="s">
        <v>857</v>
      </c>
      <c r="E371" s="3" t="s">
        <v>151</v>
      </c>
    </row>
    <row r="372" spans="1:5" s="3" customFormat="1" x14ac:dyDescent="0.25">
      <c r="A372" s="3">
        <v>90191</v>
      </c>
      <c r="B372" s="3" t="s">
        <v>858</v>
      </c>
      <c r="C372" s="3" t="s">
        <v>23</v>
      </c>
      <c r="D372" s="3" t="s">
        <v>859</v>
      </c>
      <c r="E372" s="3" t="s">
        <v>151</v>
      </c>
    </row>
    <row r="373" spans="1:5" s="3" customFormat="1" x14ac:dyDescent="0.25">
      <c r="A373" s="3">
        <v>90196</v>
      </c>
      <c r="B373" s="3" t="s">
        <v>860</v>
      </c>
      <c r="C373" s="3" t="s">
        <v>23</v>
      </c>
      <c r="D373" s="3" t="s">
        <v>861</v>
      </c>
      <c r="E373" s="3" t="s">
        <v>151</v>
      </c>
    </row>
    <row r="374" spans="1:5" s="3" customFormat="1" x14ac:dyDescent="0.25">
      <c r="A374" s="3">
        <v>90203</v>
      </c>
      <c r="B374" s="3" t="s">
        <v>862</v>
      </c>
      <c r="C374" s="3" t="s">
        <v>23</v>
      </c>
      <c r="D374" s="3" t="s">
        <v>863</v>
      </c>
      <c r="E374" s="3" t="s">
        <v>151</v>
      </c>
    </row>
    <row r="375" spans="1:5" s="3" customFormat="1" x14ac:dyDescent="0.25">
      <c r="A375" s="3">
        <v>90206</v>
      </c>
      <c r="B375" s="3" t="s">
        <v>864</v>
      </c>
      <c r="C375" s="3" t="s">
        <v>23</v>
      </c>
      <c r="D375" s="3" t="s">
        <v>865</v>
      </c>
      <c r="E375" s="3" t="s">
        <v>151</v>
      </c>
    </row>
    <row r="376" spans="1:5" s="3" customFormat="1" x14ac:dyDescent="0.25">
      <c r="A376" s="3">
        <v>90208</v>
      </c>
      <c r="B376" s="3" t="s">
        <v>866</v>
      </c>
      <c r="C376" s="3" t="s">
        <v>23</v>
      </c>
      <c r="D376" s="3" t="s">
        <v>867</v>
      </c>
      <c r="E376" s="3" t="s">
        <v>151</v>
      </c>
    </row>
    <row r="377" spans="1:5" s="3" customFormat="1" x14ac:dyDescent="0.25">
      <c r="A377" s="3">
        <v>90213</v>
      </c>
      <c r="B377" s="3" t="s">
        <v>868</v>
      </c>
      <c r="C377" s="3" t="s">
        <v>23</v>
      </c>
      <c r="D377" s="3" t="s">
        <v>869</v>
      </c>
      <c r="E377" s="3" t="s">
        <v>151</v>
      </c>
    </row>
    <row r="378" spans="1:5" s="3" customFormat="1" x14ac:dyDescent="0.25">
      <c r="A378" s="3">
        <v>90215</v>
      </c>
      <c r="B378" s="3" t="s">
        <v>870</v>
      </c>
      <c r="C378" s="3" t="s">
        <v>23</v>
      </c>
      <c r="D378" s="3" t="s">
        <v>871</v>
      </c>
      <c r="E378" s="3" t="s">
        <v>151</v>
      </c>
    </row>
    <row r="379" spans="1:5" s="3" customFormat="1" x14ac:dyDescent="0.25">
      <c r="A379" s="3">
        <v>90227</v>
      </c>
      <c r="B379" s="3" t="s">
        <v>872</v>
      </c>
      <c r="C379" s="3" t="s">
        <v>23</v>
      </c>
      <c r="D379" s="3" t="s">
        <v>873</v>
      </c>
      <c r="E379" s="3" t="s">
        <v>151</v>
      </c>
    </row>
    <row r="380" spans="1:5" s="3" customFormat="1" x14ac:dyDescent="0.25">
      <c r="A380" s="3">
        <v>90229</v>
      </c>
      <c r="B380" s="3" t="s">
        <v>546</v>
      </c>
      <c r="C380" s="3" t="s">
        <v>23</v>
      </c>
      <c r="D380" s="3" t="s">
        <v>874</v>
      </c>
      <c r="E380" s="3" t="s">
        <v>151</v>
      </c>
    </row>
    <row r="381" spans="1:5" s="3" customFormat="1" x14ac:dyDescent="0.25">
      <c r="A381" s="3">
        <v>90234</v>
      </c>
      <c r="B381" s="3" t="s">
        <v>875</v>
      </c>
      <c r="C381" s="3" t="s">
        <v>23</v>
      </c>
      <c r="D381" s="3" t="s">
        <v>876</v>
      </c>
      <c r="E381" s="3" t="s">
        <v>151</v>
      </c>
    </row>
    <row r="382" spans="1:5" s="3" customFormat="1" x14ac:dyDescent="0.25">
      <c r="A382" s="3">
        <v>90235</v>
      </c>
      <c r="B382" s="3" t="s">
        <v>877</v>
      </c>
      <c r="C382" s="3" t="s">
        <v>23</v>
      </c>
      <c r="D382" s="3" t="s">
        <v>878</v>
      </c>
      <c r="E382" s="3" t="s">
        <v>151</v>
      </c>
    </row>
    <row r="383" spans="1:5" s="3" customFormat="1" x14ac:dyDescent="0.25">
      <c r="A383" s="3">
        <v>90245</v>
      </c>
      <c r="B383" s="3" t="s">
        <v>879</v>
      </c>
      <c r="C383" s="3" t="s">
        <v>23</v>
      </c>
      <c r="D383" s="3" t="s">
        <v>880</v>
      </c>
      <c r="E383" s="3" t="s">
        <v>151</v>
      </c>
    </row>
    <row r="384" spans="1:5" s="3" customFormat="1" x14ac:dyDescent="0.25">
      <c r="A384" s="3">
        <v>90250</v>
      </c>
      <c r="B384" s="3" t="s">
        <v>881</v>
      </c>
      <c r="C384" s="3" t="s">
        <v>23</v>
      </c>
      <c r="D384" s="3" t="s">
        <v>882</v>
      </c>
      <c r="E384" s="3" t="s">
        <v>151</v>
      </c>
    </row>
    <row r="385" spans="1:5" s="3" customFormat="1" x14ac:dyDescent="0.25">
      <c r="A385" s="3">
        <v>90251</v>
      </c>
      <c r="B385" s="3" t="s">
        <v>883</v>
      </c>
      <c r="C385" s="3" t="s">
        <v>23</v>
      </c>
      <c r="D385" s="3" t="s">
        <v>884</v>
      </c>
      <c r="E385" s="3" t="s">
        <v>151</v>
      </c>
    </row>
    <row r="386" spans="1:5" s="3" customFormat="1" x14ac:dyDescent="0.25">
      <c r="A386" s="3">
        <v>90253</v>
      </c>
      <c r="B386" s="3" t="s">
        <v>885</v>
      </c>
      <c r="C386" s="3" t="s">
        <v>23</v>
      </c>
      <c r="D386" s="3" t="s">
        <v>886</v>
      </c>
      <c r="E386" s="3" t="s">
        <v>151</v>
      </c>
    </row>
    <row r="387" spans="1:5" s="3" customFormat="1" x14ac:dyDescent="0.25">
      <c r="A387" s="3">
        <v>90258</v>
      </c>
      <c r="B387" s="3" t="s">
        <v>887</v>
      </c>
      <c r="C387" s="3" t="s">
        <v>23</v>
      </c>
      <c r="D387" s="3" t="s">
        <v>888</v>
      </c>
      <c r="E387" s="3" t="s">
        <v>151</v>
      </c>
    </row>
    <row r="388" spans="1:5" s="3" customFormat="1" x14ac:dyDescent="0.25">
      <c r="A388" s="3">
        <v>90259</v>
      </c>
      <c r="B388" s="3" t="s">
        <v>889</v>
      </c>
      <c r="C388" s="3" t="s">
        <v>23</v>
      </c>
      <c r="D388" s="3" t="s">
        <v>890</v>
      </c>
      <c r="E388" s="3" t="s">
        <v>151</v>
      </c>
    </row>
    <row r="389" spans="1:5" s="3" customFormat="1" x14ac:dyDescent="0.25">
      <c r="A389" s="3">
        <v>90268</v>
      </c>
      <c r="B389" s="3" t="s">
        <v>891</v>
      </c>
      <c r="C389" s="3" t="s">
        <v>23</v>
      </c>
      <c r="D389" s="3" t="s">
        <v>892</v>
      </c>
      <c r="E389" s="3" t="s">
        <v>151</v>
      </c>
    </row>
    <row r="390" spans="1:5" s="3" customFormat="1" x14ac:dyDescent="0.25">
      <c r="A390" s="3">
        <v>90282</v>
      </c>
      <c r="B390" s="3" t="s">
        <v>893</v>
      </c>
      <c r="C390" s="3" t="s">
        <v>23</v>
      </c>
      <c r="D390" s="3" t="s">
        <v>894</v>
      </c>
      <c r="E390" s="3" t="s">
        <v>151</v>
      </c>
    </row>
    <row r="391" spans="1:5" s="3" customFormat="1" x14ac:dyDescent="0.25">
      <c r="A391" s="3">
        <v>90290</v>
      </c>
      <c r="B391" s="3" t="s">
        <v>895</v>
      </c>
      <c r="C391" s="3" t="s">
        <v>23</v>
      </c>
      <c r="D391" s="3" t="s">
        <v>896</v>
      </c>
      <c r="E391" s="3" t="s">
        <v>151</v>
      </c>
    </row>
    <row r="392" spans="1:5" s="3" customFormat="1" x14ac:dyDescent="0.25">
      <c r="A392" s="3">
        <v>90291</v>
      </c>
      <c r="B392" s="3" t="s">
        <v>897</v>
      </c>
      <c r="C392" s="3" t="s">
        <v>23</v>
      </c>
      <c r="D392" s="3" t="s">
        <v>898</v>
      </c>
      <c r="E392" s="3" t="s">
        <v>151</v>
      </c>
    </row>
    <row r="393" spans="1:5" s="3" customFormat="1" x14ac:dyDescent="0.25">
      <c r="A393" s="3">
        <v>90297</v>
      </c>
      <c r="B393" s="3" t="s">
        <v>899</v>
      </c>
      <c r="C393" s="3" t="s">
        <v>23</v>
      </c>
      <c r="D393" s="3" t="s">
        <v>900</v>
      </c>
      <c r="E393" s="3" t="s">
        <v>151</v>
      </c>
    </row>
    <row r="394" spans="1:5" s="3" customFormat="1" x14ac:dyDescent="0.25">
      <c r="A394" s="3">
        <v>90303</v>
      </c>
      <c r="B394" s="3" t="s">
        <v>901</v>
      </c>
      <c r="C394" s="3" t="s">
        <v>23</v>
      </c>
      <c r="D394" s="3" t="s">
        <v>902</v>
      </c>
      <c r="E394" s="3" t="s">
        <v>151</v>
      </c>
    </row>
    <row r="395" spans="1:5" s="3" customFormat="1" x14ac:dyDescent="0.25">
      <c r="A395" s="3">
        <v>90308</v>
      </c>
      <c r="B395" s="3" t="s">
        <v>903</v>
      </c>
      <c r="C395" s="3" t="s">
        <v>23</v>
      </c>
      <c r="D395" s="3" t="s">
        <v>904</v>
      </c>
      <c r="E395" s="3" t="s">
        <v>151</v>
      </c>
    </row>
    <row r="396" spans="1:5" s="3" customFormat="1" x14ac:dyDescent="0.25">
      <c r="A396" s="3">
        <v>90311</v>
      </c>
      <c r="B396" s="3" t="s">
        <v>905</v>
      </c>
      <c r="C396" s="3" t="s">
        <v>23</v>
      </c>
      <c r="D396" s="3" t="s">
        <v>906</v>
      </c>
      <c r="E396" s="3" t="s">
        <v>151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803D"/>
  </sheetPr>
  <dimension ref="A1:E4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44" customWidth="1"/>
    <col min="3" max="3" width="24" style="7" customWidth="1"/>
    <col min="4" max="4" width="26" style="7" customWidth="1"/>
    <col min="5" max="5" width="10" style="8" customWidth="1"/>
  </cols>
  <sheetData>
    <row r="1" ht="18" customHeight="1" spans="1:5" s="5" customFormat="1" x14ac:dyDescent="0.25">
      <c r="A1" s="5" t="s">
        <v>13</v>
      </c>
      <c r="B1" s="5" t="s">
        <v>120</v>
      </c>
      <c r="C1" s="9" t="s">
        <v>907</v>
      </c>
      <c r="D1" s="9" t="s">
        <v>908</v>
      </c>
      <c r="E1" s="10" t="s">
        <v>909</v>
      </c>
    </row>
    <row r="2" spans="1:5" s="3" customFormat="1" x14ac:dyDescent="0.25">
      <c r="A2" s="3">
        <v>12013</v>
      </c>
      <c r="B2" s="3" t="s">
        <v>149</v>
      </c>
      <c r="C2" s="11">
        <v>1820867</v>
      </c>
      <c r="D2" s="11">
        <v>1490109</v>
      </c>
      <c r="E2" s="12">
        <f>IF(C2=0,"",(D2-C2)/C2)</f>
      </c>
    </row>
    <row r="3" spans="1:5" s="3" customFormat="1" x14ac:dyDescent="0.25">
      <c r="A3" s="3">
        <v>13063</v>
      </c>
      <c r="B3" s="3" t="s">
        <v>152</v>
      </c>
      <c r="C3" s="11">
        <v>1846791</v>
      </c>
      <c r="D3" s="11">
        <v>2099477</v>
      </c>
      <c r="E3" s="12">
        <f>IF(C3=0,"",(D3-C3)/C3)</f>
      </c>
    </row>
    <row r="4" spans="1:5" s="3" customFormat="1" x14ac:dyDescent="0.25">
      <c r="A4" s="3">
        <v>14134</v>
      </c>
      <c r="B4" s="3" t="s">
        <v>154</v>
      </c>
      <c r="C4" s="11">
        <v>838127</v>
      </c>
      <c r="D4" s="11">
        <v>925377</v>
      </c>
      <c r="E4" s="12">
        <f>IF(C4=0,"",(D4-C4)/C4)</f>
      </c>
    </row>
    <row r="5" spans="1:5" s="3" customFormat="1" x14ac:dyDescent="0.25">
      <c r="A5" s="3">
        <v>14136</v>
      </c>
      <c r="B5" s="3" t="s">
        <v>157</v>
      </c>
      <c r="C5" s="11">
        <v>228201</v>
      </c>
      <c r="D5" s="11">
        <v>259539</v>
      </c>
      <c r="E5" s="12">
        <f>IF(C5=0,"",(D5-C5)/C5)</f>
      </c>
    </row>
    <row r="6" spans="1:5" s="3" customFormat="1" x14ac:dyDescent="0.25">
      <c r="A6" s="3">
        <v>14140</v>
      </c>
      <c r="B6" s="3" t="s">
        <v>159</v>
      </c>
      <c r="C6" s="11">
        <v>1414255</v>
      </c>
      <c r="D6" s="11">
        <v>1576055</v>
      </c>
      <c r="E6" s="12">
        <f>IF(C6=0,"",(D6-C6)/C6)</f>
      </c>
    </row>
    <row r="7" spans="1:5" s="3" customFormat="1" x14ac:dyDescent="0.25">
      <c r="A7" s="3">
        <v>15912</v>
      </c>
      <c r="B7" s="3" t="s">
        <v>76</v>
      </c>
      <c r="C7" s="11">
        <v>1438145</v>
      </c>
      <c r="D7" s="11">
        <v>1694155</v>
      </c>
      <c r="E7" s="12">
        <f>IF(C7=0,"",(D7-C7)/C7)</f>
      </c>
    </row>
    <row r="8" spans="1:5" s="3" customFormat="1" x14ac:dyDescent="0.25">
      <c r="A8" s="3">
        <v>15966</v>
      </c>
      <c r="B8" s="3" t="s">
        <v>162</v>
      </c>
      <c r="C8" s="11">
        <v>475722</v>
      </c>
      <c r="D8" s="11">
        <v>493036</v>
      </c>
      <c r="E8" s="12">
        <f>IF(C8=0,"",(D8-C8)/C8)</f>
      </c>
    </row>
    <row r="9" spans="1:5" s="3" customFormat="1" x14ac:dyDescent="0.25">
      <c r="A9" s="3">
        <v>15969</v>
      </c>
      <c r="B9" s="3" t="s">
        <v>164</v>
      </c>
      <c r="C9" s="11">
        <v>524847</v>
      </c>
      <c r="D9" s="11">
        <v>510424</v>
      </c>
      <c r="E9" s="12">
        <f>IF(C9=0,"",(D9-C9)/C9)</f>
      </c>
    </row>
    <row r="10" spans="1:5" s="3" customFormat="1" x14ac:dyDescent="0.25">
      <c r="A10" s="3">
        <v>15970</v>
      </c>
      <c r="B10" s="3" t="s">
        <v>166</v>
      </c>
      <c r="C10" s="11">
        <v>1247761</v>
      </c>
      <c r="D10" s="11">
        <v>1371883</v>
      </c>
      <c r="E10" s="12">
        <f>IF(C10=0,"",(D10-C10)/C10)</f>
      </c>
    </row>
    <row r="11" spans="1:5" s="3" customFormat="1" x14ac:dyDescent="0.25">
      <c r="A11" s="3">
        <v>15987</v>
      </c>
      <c r="B11" s="3" t="s">
        <v>168</v>
      </c>
      <c r="C11" s="11">
        <v>736016</v>
      </c>
      <c r="D11" s="11">
        <v>977293</v>
      </c>
      <c r="E11" s="12">
        <f>IF(C11=0,"",(D11-C11)/C11)</f>
      </c>
    </row>
    <row r="12" spans="1:5" s="3" customFormat="1" x14ac:dyDescent="0.25">
      <c r="A12" s="3">
        <v>15990</v>
      </c>
      <c r="B12" s="3" t="s">
        <v>123</v>
      </c>
      <c r="C12" s="11">
        <v>923496</v>
      </c>
      <c r="D12" s="11">
        <v>970247</v>
      </c>
      <c r="E12" s="12">
        <f>IF(C12=0,"",(D12-C12)/C12)</f>
      </c>
    </row>
    <row r="13" spans="1:5" s="3" customFormat="1" x14ac:dyDescent="0.25">
      <c r="A13" s="3">
        <v>16026</v>
      </c>
      <c r="B13" s="3" t="s">
        <v>170</v>
      </c>
      <c r="C13" s="11">
        <v>6834299</v>
      </c>
      <c r="D13" s="11">
        <v>7540183</v>
      </c>
      <c r="E13" s="12">
        <f>IF(C13=0,"",(D13-C13)/C13)</f>
      </c>
    </row>
    <row r="14" spans="1:5" s="3" customFormat="1" x14ac:dyDescent="0.25">
      <c r="A14" s="3">
        <v>16030</v>
      </c>
      <c r="B14" s="3" t="s">
        <v>172</v>
      </c>
      <c r="C14" s="11">
        <v>308828</v>
      </c>
      <c r="D14" s="11">
        <v>365957</v>
      </c>
      <c r="E14" s="12">
        <f>IF(C14=0,"",(D14-C14)/C14)</f>
      </c>
    </row>
    <row r="15" spans="1:5" s="3" customFormat="1" x14ac:dyDescent="0.25">
      <c r="A15" s="3">
        <v>16032</v>
      </c>
      <c r="B15" s="3" t="s">
        <v>174</v>
      </c>
      <c r="C15" s="11">
        <v>1335810</v>
      </c>
      <c r="D15" s="11">
        <v>1284609</v>
      </c>
      <c r="E15" s="12">
        <f>IF(C15=0,"",(D15-C15)/C15)</f>
      </c>
    </row>
    <row r="16" spans="1:5" s="3" customFormat="1" x14ac:dyDescent="0.25">
      <c r="A16" s="3">
        <v>16039</v>
      </c>
      <c r="B16" s="3" t="s">
        <v>176</v>
      </c>
      <c r="C16" s="11">
        <v>277985</v>
      </c>
      <c r="D16" s="11">
        <v>278821</v>
      </c>
      <c r="E16" s="12">
        <f>IF(C16=0,"",(D16-C16)/C16)</f>
      </c>
    </row>
    <row r="17" spans="1:5" s="3" customFormat="1" x14ac:dyDescent="0.25">
      <c r="A17" s="3">
        <v>16101</v>
      </c>
      <c r="B17" s="3" t="s">
        <v>178</v>
      </c>
      <c r="C17" s="11">
        <v>559839</v>
      </c>
      <c r="D17" s="11">
        <v>652672</v>
      </c>
      <c r="E17" s="12">
        <f>IF(C17=0,"",(D17-C17)/C17)</f>
      </c>
    </row>
    <row r="18" spans="1:5" s="3" customFormat="1" x14ac:dyDescent="0.25">
      <c r="A18" s="3">
        <v>16636</v>
      </c>
      <c r="B18" s="3" t="s">
        <v>180</v>
      </c>
      <c r="C18" s="11">
        <v>908945</v>
      </c>
      <c r="D18" s="11">
        <v>994023</v>
      </c>
      <c r="E18" s="12">
        <f>IF(C18=0,"",(D18-C18)/C18)</f>
      </c>
    </row>
    <row r="19" spans="1:5" s="3" customFormat="1" x14ac:dyDescent="0.25">
      <c r="A19" s="3">
        <v>17115</v>
      </c>
      <c r="B19" s="3" t="s">
        <v>182</v>
      </c>
      <c r="C19" s="11">
        <v>1004795</v>
      </c>
      <c r="D19" s="11">
        <v>1072343</v>
      </c>
      <c r="E19" s="12">
        <f>IF(C19=0,"",(D19-C19)/C19)</f>
      </c>
    </row>
    <row r="20" spans="1:5" s="3" customFormat="1" x14ac:dyDescent="0.25">
      <c r="A20" s="3">
        <v>17123</v>
      </c>
      <c r="B20" s="3" t="s">
        <v>184</v>
      </c>
      <c r="C20" s="11">
        <v>662318</v>
      </c>
      <c r="D20" s="11">
        <v>719636</v>
      </c>
      <c r="E20" s="12">
        <f>IF(C20=0,"",(D20-C20)/C20)</f>
      </c>
    </row>
    <row r="21" spans="1:5" s="3" customFormat="1" x14ac:dyDescent="0.25">
      <c r="A21" s="3">
        <v>17180</v>
      </c>
      <c r="B21" s="3" t="s">
        <v>187</v>
      </c>
      <c r="C21" s="11">
        <v>1552881</v>
      </c>
      <c r="D21" s="11">
        <v>1622674</v>
      </c>
      <c r="E21" s="12">
        <f>IF(C21=0,"",(D21-C21)/C21)</f>
      </c>
    </row>
    <row r="22" spans="1:5" s="3" customFormat="1" x14ac:dyDescent="0.25">
      <c r="A22" s="3">
        <v>17262</v>
      </c>
      <c r="B22" s="3" t="s">
        <v>78</v>
      </c>
      <c r="C22" s="11">
        <v>528294</v>
      </c>
      <c r="D22" s="11">
        <v>525663</v>
      </c>
      <c r="E22" s="12">
        <f>IF(C22=0,"",(D22-C22)/C22)</f>
      </c>
    </row>
    <row r="23" spans="1:5" s="3" customFormat="1" x14ac:dyDescent="0.25">
      <c r="A23" s="3">
        <v>17443</v>
      </c>
      <c r="B23" s="3" t="s">
        <v>191</v>
      </c>
      <c r="C23" s="11">
        <v>380965</v>
      </c>
      <c r="D23" s="11">
        <v>381255</v>
      </c>
      <c r="E23" s="12">
        <f>IF(C23=0,"",(D23-C23)/C23)</f>
      </c>
    </row>
    <row r="24" spans="1:5" s="3" customFormat="1" x14ac:dyDescent="0.25">
      <c r="A24" s="3">
        <v>17658</v>
      </c>
      <c r="B24" s="3" t="s">
        <v>193</v>
      </c>
      <c r="C24" s="11">
        <v>1795136</v>
      </c>
      <c r="D24" s="11">
        <v>2080808</v>
      </c>
      <c r="E24" s="12">
        <f>IF(C24=0,"",(D24-C24)/C24)</f>
      </c>
    </row>
    <row r="25" spans="1:5" s="3" customFormat="1" x14ac:dyDescent="0.25">
      <c r="A25" s="3">
        <v>17736</v>
      </c>
      <c r="B25" s="3" t="s">
        <v>195</v>
      </c>
      <c r="C25" s="11">
        <v>497776</v>
      </c>
      <c r="D25" s="11">
        <v>461872</v>
      </c>
      <c r="E25" s="12">
        <f>IF(C25=0,"",(D25-C25)/C25)</f>
      </c>
    </row>
    <row r="26" spans="1:5" s="3" customFormat="1" x14ac:dyDescent="0.25">
      <c r="A26" s="3">
        <v>17741</v>
      </c>
      <c r="B26" s="3" t="s">
        <v>198</v>
      </c>
      <c r="C26" s="11">
        <v>1004289</v>
      </c>
      <c r="D26" s="11">
        <v>2894748</v>
      </c>
      <c r="E26" s="12">
        <f>IF(C26=0,"",(D26-C26)/C26)</f>
      </c>
    </row>
    <row r="27" spans="1:5" s="3" customFormat="1" x14ac:dyDescent="0.25">
      <c r="A27" s="3">
        <v>17743</v>
      </c>
      <c r="B27" s="3" t="s">
        <v>200</v>
      </c>
      <c r="C27" s="11">
        <v>1276362</v>
      </c>
      <c r="D27" s="11">
        <v>1456967</v>
      </c>
      <c r="E27" s="12">
        <f>IF(C27=0,"",(D27-C27)/C27)</f>
      </c>
    </row>
    <row r="28" spans="1:5" s="3" customFormat="1" x14ac:dyDescent="0.25">
      <c r="A28" s="3">
        <v>17749</v>
      </c>
      <c r="B28" s="3" t="s">
        <v>126</v>
      </c>
      <c r="C28" s="11">
        <v>1276951</v>
      </c>
      <c r="D28" s="11">
        <v>1499837</v>
      </c>
      <c r="E28" s="12">
        <f>IF(C28=0,"",(D28-C28)/C28)</f>
      </c>
    </row>
    <row r="29" spans="1:5" s="3" customFormat="1" x14ac:dyDescent="0.25">
      <c r="A29" s="3">
        <v>17751</v>
      </c>
      <c r="B29" s="3" t="s">
        <v>202</v>
      </c>
      <c r="C29" s="11">
        <v>1450036</v>
      </c>
      <c r="D29" s="11">
        <v>1779609</v>
      </c>
      <c r="E29" s="12">
        <f>IF(C29=0,"",(D29-C29)/C29)</f>
      </c>
    </row>
    <row r="30" spans="1:5" s="3" customFormat="1" x14ac:dyDescent="0.25">
      <c r="A30" s="3">
        <v>17764</v>
      </c>
      <c r="B30" s="3" t="s">
        <v>204</v>
      </c>
      <c r="C30" s="11">
        <v>2127985</v>
      </c>
      <c r="D30" s="11">
        <v>3051213</v>
      </c>
      <c r="E30" s="12">
        <f>IF(C30=0,"",(D30-C30)/C30)</f>
      </c>
    </row>
    <row r="31" spans="1:5" s="3" customFormat="1" x14ac:dyDescent="0.25">
      <c r="A31" s="3">
        <v>17797</v>
      </c>
      <c r="B31" s="3" t="s">
        <v>207</v>
      </c>
      <c r="C31" s="11">
        <v>792319</v>
      </c>
      <c r="D31" s="11">
        <v>835989</v>
      </c>
      <c r="E31" s="12">
        <f>IF(C31=0,"",(D31-C31)/C31)</f>
      </c>
    </row>
    <row r="32" spans="1:5" s="3" customFormat="1" x14ac:dyDescent="0.25">
      <c r="A32" s="3">
        <v>17870</v>
      </c>
      <c r="B32" s="3" t="s">
        <v>209</v>
      </c>
      <c r="C32" s="11">
        <v>6474352</v>
      </c>
      <c r="D32" s="11">
        <v>6912673</v>
      </c>
      <c r="E32" s="12">
        <f>IF(C32=0,"",(D32-C32)/C32)</f>
      </c>
    </row>
    <row r="33" spans="1:5" s="3" customFormat="1" x14ac:dyDescent="0.25">
      <c r="A33" s="3">
        <v>17897</v>
      </c>
      <c r="B33" s="3" t="s">
        <v>211</v>
      </c>
      <c r="C33" s="11">
        <v>1640422</v>
      </c>
      <c r="D33" s="11">
        <v>1828069</v>
      </c>
      <c r="E33" s="12">
        <f>IF(C33=0,"",(D33-C33)/C33)</f>
      </c>
    </row>
    <row r="34" spans="1:5" s="3" customFormat="1" x14ac:dyDescent="0.25">
      <c r="A34" s="3">
        <v>17943</v>
      </c>
      <c r="B34" s="3" t="s">
        <v>213</v>
      </c>
      <c r="C34" s="11">
        <v>6944336</v>
      </c>
      <c r="D34" s="11">
        <v>9017093</v>
      </c>
      <c r="E34" s="12">
        <f>IF(C34=0,"",(D34-C34)/C34)</f>
      </c>
    </row>
    <row r="35" spans="1:5" s="3" customFormat="1" x14ac:dyDescent="0.25">
      <c r="A35" s="3">
        <v>17951</v>
      </c>
      <c r="B35" s="3" t="s">
        <v>215</v>
      </c>
      <c r="C35" s="11">
        <v>761892</v>
      </c>
      <c r="D35" s="11">
        <v>908169</v>
      </c>
      <c r="E35" s="12">
        <f>IF(C35=0,"",(D35-C35)/C35)</f>
      </c>
    </row>
    <row r="36" spans="1:5" s="3" customFormat="1" x14ac:dyDescent="0.25">
      <c r="A36" s="3">
        <v>17960</v>
      </c>
      <c r="B36" s="3" t="s">
        <v>217</v>
      </c>
      <c r="C36" s="11">
        <v>1317746</v>
      </c>
      <c r="D36" s="11">
        <v>1390762</v>
      </c>
      <c r="E36" s="12">
        <f>IF(C36=0,"",(D36-C36)/C36)</f>
      </c>
    </row>
    <row r="37" spans="1:5" s="3" customFormat="1" x14ac:dyDescent="0.25">
      <c r="A37" s="3">
        <v>18012</v>
      </c>
      <c r="B37" s="3" t="s">
        <v>219</v>
      </c>
      <c r="C37" s="11">
        <v>2428150</v>
      </c>
      <c r="D37" s="11">
        <v>2811973</v>
      </c>
      <c r="E37" s="12">
        <f>IF(C37=0,"",(D37-C37)/C37)</f>
      </c>
    </row>
    <row r="38" spans="1:5" s="3" customFormat="1" x14ac:dyDescent="0.25">
      <c r="A38" s="3">
        <v>18013</v>
      </c>
      <c r="B38" s="3" t="s">
        <v>221</v>
      </c>
      <c r="C38" s="11">
        <v>2733504</v>
      </c>
      <c r="D38" s="11">
        <v>2995084</v>
      </c>
      <c r="E38" s="12">
        <f>IF(C38=0,"",(D38-C38)/C38)</f>
      </c>
    </row>
    <row r="39" spans="1:5" s="3" customFormat="1" x14ac:dyDescent="0.25">
      <c r="A39" s="3">
        <v>18028</v>
      </c>
      <c r="B39" s="3" t="s">
        <v>223</v>
      </c>
      <c r="C39" s="11">
        <v>382131</v>
      </c>
      <c r="D39" s="11">
        <v>416530</v>
      </c>
      <c r="E39" s="12">
        <f>IF(C39=0,"",(D39-C39)/C39)</f>
      </c>
    </row>
    <row r="40" spans="1:5" s="3" customFormat="1" x14ac:dyDescent="0.25">
      <c r="A40" s="3">
        <v>18030</v>
      </c>
      <c r="B40" s="3" t="s">
        <v>225</v>
      </c>
      <c r="C40" s="11">
        <v>702716</v>
      </c>
      <c r="D40" s="11">
        <v>848942</v>
      </c>
      <c r="E40" s="12">
        <f>IF(C40=0,"",(D40-C40)/C40)</f>
      </c>
    </row>
    <row r="41" spans="1:5" s="3" customFormat="1" x14ac:dyDescent="0.25">
      <c r="A41" s="3">
        <v>18038</v>
      </c>
      <c r="B41" s="3" t="s">
        <v>227</v>
      </c>
      <c r="C41" s="11">
        <v>530906</v>
      </c>
      <c r="D41" s="11">
        <v>619715</v>
      </c>
      <c r="E41" s="12">
        <f>IF(C41=0,"",(D41-C41)/C41)</f>
      </c>
    </row>
    <row r="42" spans="1:5" s="3" customFormat="1" x14ac:dyDescent="0.25">
      <c r="A42" s="3">
        <v>18129</v>
      </c>
      <c r="B42" s="3" t="s">
        <v>229</v>
      </c>
      <c r="C42" s="11">
        <v>2508364</v>
      </c>
      <c r="D42" s="11">
        <v>3068942</v>
      </c>
      <c r="E42" s="12">
        <f>IF(C42=0,"",(D42-C42)/C42)</f>
      </c>
    </row>
    <row r="43" spans="1:5" s="3" customFormat="1" x14ac:dyDescent="0.25">
      <c r="A43" s="3">
        <v>18190</v>
      </c>
      <c r="B43" s="3" t="s">
        <v>231</v>
      </c>
      <c r="C43" s="11">
        <v>2985601</v>
      </c>
      <c r="D43" s="11">
        <v>3302130</v>
      </c>
      <c r="E43" s="12">
        <f>IF(C43=0,"",(D43-C43)/C43)</f>
      </c>
    </row>
    <row r="44" spans="1:5" s="3" customFormat="1" x14ac:dyDescent="0.25">
      <c r="A44" s="3">
        <v>18194</v>
      </c>
      <c r="B44" s="3" t="s">
        <v>80</v>
      </c>
      <c r="C44" s="11">
        <v>1048056</v>
      </c>
      <c r="D44" s="11">
        <v>1473506</v>
      </c>
      <c r="E44" s="12">
        <f>IF(C44=0,"",(D44-C44)/C44)</f>
      </c>
    </row>
    <row r="45" spans="1:5" s="3" customFormat="1" x14ac:dyDescent="0.25">
      <c r="A45" s="3">
        <v>18198</v>
      </c>
      <c r="B45" s="3" t="s">
        <v>234</v>
      </c>
      <c r="C45" s="11">
        <v>2071879</v>
      </c>
      <c r="D45" s="11">
        <v>2769160</v>
      </c>
      <c r="E45" s="12">
        <f>IF(C45=0,"",(D45-C45)/C45)</f>
      </c>
    </row>
    <row r="46" spans="1:5" s="3" customFormat="1" x14ac:dyDescent="0.25">
      <c r="A46" s="3">
        <v>18199</v>
      </c>
      <c r="B46" s="3" t="s">
        <v>236</v>
      </c>
      <c r="C46" s="11">
        <v>1846410</v>
      </c>
      <c r="D46" s="11">
        <v>1925047</v>
      </c>
      <c r="E46" s="12">
        <f>IF(C46=0,"",(D46-C46)/C46)</f>
      </c>
    </row>
    <row r="47" spans="1:5" s="3" customFormat="1" x14ac:dyDescent="0.25">
      <c r="A47" s="3">
        <v>18200</v>
      </c>
      <c r="B47" s="3" t="s">
        <v>238</v>
      </c>
      <c r="C47" s="11">
        <v>1108849</v>
      </c>
      <c r="D47" s="11">
        <v>1220818</v>
      </c>
      <c r="E47" s="12">
        <f>IF(C47=0,"",(D47-C47)/C47)</f>
      </c>
    </row>
    <row r="48" spans="1:5" s="3" customFormat="1" x14ac:dyDescent="0.25">
      <c r="A48" s="3">
        <v>18204</v>
      </c>
      <c r="B48" s="3" t="s">
        <v>128</v>
      </c>
      <c r="C48" s="11">
        <v>2076907</v>
      </c>
      <c r="D48" s="11">
        <v>2359213</v>
      </c>
      <c r="E48" s="12">
        <f>IF(C48=0,"",(D48-C48)/C48)</f>
      </c>
    </row>
    <row r="49" spans="1:5" s="3" customFormat="1" x14ac:dyDescent="0.25">
      <c r="A49" s="3">
        <v>18213</v>
      </c>
      <c r="B49" s="3" t="s">
        <v>240</v>
      </c>
      <c r="C49" s="11">
        <v>1919285</v>
      </c>
      <c r="D49" s="11">
        <v>1887262</v>
      </c>
      <c r="E49" s="12">
        <f>IF(C49=0,"",(D49-C49)/C49)</f>
      </c>
    </row>
    <row r="50" spans="1:5" s="3" customFormat="1" x14ac:dyDescent="0.25">
      <c r="A50" s="3">
        <v>18227</v>
      </c>
      <c r="B50" s="3" t="s">
        <v>242</v>
      </c>
      <c r="C50" s="11">
        <v>388705</v>
      </c>
      <c r="D50" s="11">
        <v>507645</v>
      </c>
      <c r="E50" s="12">
        <f>IF(C50=0,"",(D50-C50)/C50)</f>
      </c>
    </row>
    <row r="51" spans="1:5" s="3" customFormat="1" x14ac:dyDescent="0.25">
      <c r="A51" s="3">
        <v>18229</v>
      </c>
      <c r="B51" s="3" t="s">
        <v>244</v>
      </c>
      <c r="C51" s="11">
        <v>1094062</v>
      </c>
      <c r="D51" s="11">
        <v>1234701</v>
      </c>
      <c r="E51" s="12">
        <f>IF(C51=0,"",(D51-C51)/C51)</f>
      </c>
    </row>
    <row r="52" spans="1:5" s="3" customFormat="1" x14ac:dyDescent="0.25">
      <c r="A52" s="3">
        <v>18237</v>
      </c>
      <c r="B52" s="3" t="s">
        <v>246</v>
      </c>
      <c r="C52" s="11">
        <v>403286</v>
      </c>
      <c r="D52" s="11">
        <v>484363</v>
      </c>
      <c r="E52" s="12">
        <f>IF(C52=0,"",(D52-C52)/C52)</f>
      </c>
    </row>
    <row r="53" spans="1:5" s="3" customFormat="1" x14ac:dyDescent="0.25">
      <c r="A53" s="3">
        <v>18238</v>
      </c>
      <c r="B53" s="3" t="s">
        <v>248</v>
      </c>
      <c r="C53" s="11">
        <v>1572496</v>
      </c>
      <c r="D53" s="11">
        <v>1737451</v>
      </c>
      <c r="E53" s="12">
        <f>IF(C53=0,"",(D53-C53)/C53)</f>
      </c>
    </row>
    <row r="54" spans="1:5" s="3" customFormat="1" x14ac:dyDescent="0.25">
      <c r="A54" s="3">
        <v>18258</v>
      </c>
      <c r="B54" s="3" t="s">
        <v>250</v>
      </c>
      <c r="C54" s="11">
        <v>1623924</v>
      </c>
      <c r="D54" s="11">
        <v>1907111</v>
      </c>
      <c r="E54" s="12">
        <f>IF(C54=0,"",(D54-C54)/C54)</f>
      </c>
    </row>
    <row r="55" spans="1:5" s="3" customFormat="1" x14ac:dyDescent="0.25">
      <c r="A55" s="3">
        <v>18408</v>
      </c>
      <c r="B55" s="3" t="s">
        <v>252</v>
      </c>
      <c r="C55" s="11">
        <v>7377141</v>
      </c>
      <c r="D55" s="11">
        <v>7422800</v>
      </c>
      <c r="E55" s="12">
        <f>IF(C55=0,"",(D55-C55)/C55)</f>
      </c>
    </row>
    <row r="56" spans="1:5" s="3" customFormat="1" x14ac:dyDescent="0.25">
      <c r="A56" s="3">
        <v>19525</v>
      </c>
      <c r="B56" s="3" t="s">
        <v>254</v>
      </c>
      <c r="C56" s="11">
        <v>657243</v>
      </c>
      <c r="D56" s="11">
        <v>631474</v>
      </c>
      <c r="E56" s="12">
        <f>IF(C56=0,"",(D56-C56)/C56)</f>
      </c>
    </row>
    <row r="57" spans="1:5" s="3" customFormat="1" x14ac:dyDescent="0.25">
      <c r="A57" s="3">
        <v>19531</v>
      </c>
      <c r="B57" s="3" t="s">
        <v>257</v>
      </c>
      <c r="C57" s="11">
        <v>2360784</v>
      </c>
      <c r="D57" s="11">
        <v>2648458</v>
      </c>
      <c r="E57" s="12">
        <f>IF(C57=0,"",(D57-C57)/C57)</f>
      </c>
    </row>
    <row r="58" spans="1:5" s="3" customFormat="1" x14ac:dyDescent="0.25">
      <c r="A58" s="3">
        <v>19532</v>
      </c>
      <c r="B58" s="3" t="s">
        <v>259</v>
      </c>
      <c r="C58" s="11">
        <v>774585</v>
      </c>
      <c r="D58" s="11">
        <v>843493</v>
      </c>
      <c r="E58" s="12">
        <f>IF(C58=0,"",(D58-C58)/C58)</f>
      </c>
    </row>
    <row r="59" spans="1:5" s="3" customFormat="1" x14ac:dyDescent="0.25">
      <c r="A59" s="3">
        <v>19836</v>
      </c>
      <c r="B59" s="3" t="s">
        <v>215</v>
      </c>
      <c r="C59" s="11">
        <v>578817</v>
      </c>
      <c r="D59" s="11">
        <v>764634</v>
      </c>
      <c r="E59" s="12">
        <f>IF(C59=0,"",(D59-C59)/C59)</f>
      </c>
    </row>
    <row r="60" spans="1:5" s="3" customFormat="1" x14ac:dyDescent="0.25">
      <c r="A60" s="3">
        <v>20741</v>
      </c>
      <c r="B60" s="3" t="s">
        <v>82</v>
      </c>
      <c r="C60" s="11">
        <v>1834148</v>
      </c>
      <c r="D60" s="11">
        <v>2212952</v>
      </c>
      <c r="E60" s="12">
        <f>IF(C60=0,"",(D60-C60)/C60)</f>
      </c>
    </row>
    <row r="61" spans="1:5" s="3" customFormat="1" x14ac:dyDescent="0.25">
      <c r="A61" s="3">
        <v>21591</v>
      </c>
      <c r="B61" s="3" t="s">
        <v>263</v>
      </c>
      <c r="C61" s="11">
        <v>1860315</v>
      </c>
      <c r="D61" s="11">
        <v>3181793</v>
      </c>
      <c r="E61" s="12">
        <f>IF(C61=0,"",(D61-C61)/C61)</f>
      </c>
    </row>
    <row r="62" spans="1:5" s="3" customFormat="1" x14ac:dyDescent="0.25">
      <c r="A62" s="3">
        <v>23286</v>
      </c>
      <c r="B62" s="3" t="s">
        <v>265</v>
      </c>
      <c r="C62" s="11">
        <v>1705192</v>
      </c>
      <c r="D62" s="11">
        <v>1895394</v>
      </c>
      <c r="E62" s="12">
        <f>IF(C62=0,"",(D62-C62)/C62)</f>
      </c>
    </row>
    <row r="63" spans="1:5" s="3" customFormat="1" x14ac:dyDescent="0.25">
      <c r="A63" s="3">
        <v>23287</v>
      </c>
      <c r="B63" s="3" t="s">
        <v>267</v>
      </c>
      <c r="C63" s="11">
        <v>5272127</v>
      </c>
      <c r="D63" s="11">
        <v>5459093</v>
      </c>
      <c r="E63" s="12">
        <f>IF(C63=0,"",(D63-C63)/C63)</f>
      </c>
    </row>
    <row r="64" spans="1:5" s="3" customFormat="1" x14ac:dyDescent="0.25">
      <c r="A64" s="3">
        <v>23293</v>
      </c>
      <c r="B64" s="3" t="s">
        <v>269</v>
      </c>
      <c r="C64" s="11">
        <v>1864517</v>
      </c>
      <c r="D64" s="11">
        <v>2017659</v>
      </c>
      <c r="E64" s="12">
        <f>IF(C64=0,"",(D64-C64)/C64)</f>
      </c>
    </row>
    <row r="65" spans="1:5" s="3" customFormat="1" x14ac:dyDescent="0.25">
      <c r="A65" s="3">
        <v>23296</v>
      </c>
      <c r="B65" s="3" t="s">
        <v>271</v>
      </c>
      <c r="C65" s="11">
        <v>6619741</v>
      </c>
      <c r="D65" s="11">
        <v>8568434</v>
      </c>
      <c r="E65" s="12">
        <f>IF(C65=0,"",(D65-C65)/C65)</f>
      </c>
    </row>
    <row r="66" spans="1:5" s="3" customFormat="1" x14ac:dyDescent="0.25">
      <c r="A66" s="3">
        <v>23298</v>
      </c>
      <c r="B66" s="3" t="s">
        <v>123</v>
      </c>
      <c r="C66" s="11">
        <v>1448597</v>
      </c>
      <c r="D66" s="11">
        <v>1444429</v>
      </c>
      <c r="E66" s="12">
        <f>IF(C66=0,"",(D66-C66)/C66)</f>
      </c>
    </row>
    <row r="67" spans="1:5" s="3" customFormat="1" x14ac:dyDescent="0.25">
      <c r="A67" s="3">
        <v>23620</v>
      </c>
      <c r="B67" s="3" t="s">
        <v>274</v>
      </c>
      <c r="C67" s="11">
        <v>2099129</v>
      </c>
      <c r="D67" s="11">
        <v>2576353</v>
      </c>
      <c r="E67" s="12">
        <f>IF(C67=0,"",(D67-C67)/C67)</f>
      </c>
    </row>
    <row r="68" spans="1:5" s="3" customFormat="1" x14ac:dyDescent="0.25">
      <c r="A68" s="3">
        <v>23622</v>
      </c>
      <c r="B68" s="3" t="s">
        <v>276</v>
      </c>
      <c r="C68" s="11">
        <v>3093991</v>
      </c>
      <c r="D68" s="11">
        <v>3157745</v>
      </c>
      <c r="E68" s="12">
        <f>IF(C68=0,"",(D68-C68)/C68)</f>
      </c>
    </row>
    <row r="69" spans="1:5" s="3" customFormat="1" x14ac:dyDescent="0.25">
      <c r="A69" s="3">
        <v>23992</v>
      </c>
      <c r="B69" s="3" t="s">
        <v>278</v>
      </c>
      <c r="C69" s="11">
        <v>1659376</v>
      </c>
      <c r="D69" s="11">
        <v>2221191</v>
      </c>
      <c r="E69" s="12">
        <f>IF(C69=0,"",(D69-C69)/C69)</f>
      </c>
    </row>
    <row r="70" spans="1:5" s="3" customFormat="1" x14ac:dyDescent="0.25">
      <c r="A70" s="3">
        <v>26336</v>
      </c>
      <c r="B70" s="3" t="s">
        <v>280</v>
      </c>
      <c r="C70" s="11">
        <v>1866085</v>
      </c>
      <c r="D70" s="11">
        <v>2033847</v>
      </c>
      <c r="E70" s="12">
        <f>IF(C70=0,"",(D70-C70)/C70)</f>
      </c>
    </row>
    <row r="71" spans="1:5" s="3" customFormat="1" x14ac:dyDescent="0.25">
      <c r="A71" s="3">
        <v>26393</v>
      </c>
      <c r="B71" s="3" t="s">
        <v>282</v>
      </c>
      <c r="C71" s="11">
        <v>391780</v>
      </c>
      <c r="D71" s="11">
        <v>444654</v>
      </c>
      <c r="E71" s="12">
        <f>IF(C71=0,"",(D71-C71)/C71)</f>
      </c>
    </row>
    <row r="72" spans="1:5" s="3" customFormat="1" x14ac:dyDescent="0.25">
      <c r="A72" s="3">
        <v>26395</v>
      </c>
      <c r="B72" s="3" t="s">
        <v>284</v>
      </c>
      <c r="C72" s="11">
        <v>1214701</v>
      </c>
      <c r="D72" s="11">
        <v>1256749</v>
      </c>
      <c r="E72" s="12">
        <f>IF(C72=0,"",(D72-C72)/C72)</f>
      </c>
    </row>
    <row r="73" spans="1:5" s="3" customFormat="1" x14ac:dyDescent="0.25">
      <c r="A73" s="3">
        <v>26397</v>
      </c>
      <c r="B73" s="3" t="s">
        <v>286</v>
      </c>
      <c r="C73" s="11">
        <v>765250</v>
      </c>
      <c r="D73" s="11">
        <v>858019</v>
      </c>
      <c r="E73" s="12">
        <f>IF(C73=0,"",(D73-C73)/C73)</f>
      </c>
    </row>
    <row r="74" spans="1:5" s="3" customFormat="1" x14ac:dyDescent="0.25">
      <c r="A74" s="3">
        <v>26411</v>
      </c>
      <c r="B74" s="3" t="s">
        <v>288</v>
      </c>
      <c r="C74" s="11">
        <v>557992</v>
      </c>
      <c r="D74" s="11">
        <v>638076</v>
      </c>
      <c r="E74" s="12">
        <f>IF(C74=0,"",(D74-C74)/C74)</f>
      </c>
    </row>
    <row r="75" spans="1:5" s="3" customFormat="1" x14ac:dyDescent="0.25">
      <c r="A75" s="3">
        <v>26450</v>
      </c>
      <c r="B75" s="3" t="s">
        <v>290</v>
      </c>
      <c r="C75" s="11">
        <v>153836</v>
      </c>
      <c r="D75" s="11">
        <v>153787</v>
      </c>
      <c r="E75" s="12">
        <f>IF(C75=0,"",(D75-C75)/C75)</f>
      </c>
    </row>
    <row r="76" spans="1:5" s="3" customFormat="1" x14ac:dyDescent="0.25">
      <c r="A76" s="3">
        <v>26451</v>
      </c>
      <c r="B76" s="3" t="s">
        <v>292</v>
      </c>
      <c r="C76" s="11">
        <v>1392664</v>
      </c>
      <c r="D76" s="11">
        <v>1344721</v>
      </c>
      <c r="E76" s="12">
        <f>IF(C76=0,"",(D76-C76)/C76)</f>
      </c>
    </row>
    <row r="77" spans="1:5" s="3" customFormat="1" x14ac:dyDescent="0.25">
      <c r="A77" s="3">
        <v>26455</v>
      </c>
      <c r="B77" s="3" t="s">
        <v>294</v>
      </c>
      <c r="C77" s="11">
        <v>689291</v>
      </c>
      <c r="D77" s="11">
        <v>797780</v>
      </c>
      <c r="E77" s="12">
        <f>IF(C77=0,"",(D77-C77)/C77)</f>
      </c>
    </row>
    <row r="78" spans="1:5" s="3" customFormat="1" x14ac:dyDescent="0.25">
      <c r="A78" s="3">
        <v>26483</v>
      </c>
      <c r="B78" s="3" t="s">
        <v>296</v>
      </c>
      <c r="C78" s="11">
        <v>3592881</v>
      </c>
      <c r="D78" s="11">
        <v>7174892</v>
      </c>
      <c r="E78" s="12">
        <f>IF(C78=0,"",(D78-C78)/C78)</f>
      </c>
    </row>
    <row r="79" spans="1:5" s="3" customFormat="1" x14ac:dyDescent="0.25">
      <c r="A79" s="3">
        <v>26484</v>
      </c>
      <c r="B79" s="3" t="s">
        <v>84</v>
      </c>
      <c r="C79" s="11">
        <v>1616227</v>
      </c>
      <c r="D79" s="11">
        <v>3270641</v>
      </c>
      <c r="E79" s="12">
        <f>IF(C79=0,"",(D79-C79)/C79)</f>
      </c>
    </row>
    <row r="80" spans="1:5" s="3" customFormat="1" x14ac:dyDescent="0.25">
      <c r="A80" s="3">
        <v>26487</v>
      </c>
      <c r="B80" s="3" t="s">
        <v>299</v>
      </c>
      <c r="C80" s="11">
        <v>567527</v>
      </c>
      <c r="D80" s="11">
        <v>649398</v>
      </c>
      <c r="E80" s="12">
        <f>IF(C80=0,"",(D80-C80)/C80)</f>
      </c>
    </row>
    <row r="81" spans="1:5" s="3" customFormat="1" x14ac:dyDescent="0.25">
      <c r="A81" s="3">
        <v>26512</v>
      </c>
      <c r="B81" s="3" t="s">
        <v>301</v>
      </c>
      <c r="C81" s="11">
        <v>126126</v>
      </c>
      <c r="D81" s="11">
        <v>143289</v>
      </c>
      <c r="E81" s="12">
        <f>IF(C81=0,"",(D81-C81)/C81)</f>
      </c>
    </row>
    <row r="82" spans="1:5" s="3" customFormat="1" x14ac:dyDescent="0.25">
      <c r="A82" s="3">
        <v>26513</v>
      </c>
      <c r="B82" s="3" t="s">
        <v>303</v>
      </c>
      <c r="C82" s="11">
        <v>118073</v>
      </c>
      <c r="D82" s="11">
        <v>134236</v>
      </c>
      <c r="E82" s="12">
        <f>IF(C82=0,"",(D82-C82)/C82)</f>
      </c>
    </row>
    <row r="83" spans="1:5" s="3" customFormat="1" x14ac:dyDescent="0.25">
      <c r="A83" s="3">
        <v>26517</v>
      </c>
      <c r="B83" s="3" t="s">
        <v>86</v>
      </c>
      <c r="C83" s="11">
        <v>1465307</v>
      </c>
      <c r="D83" s="11">
        <v>1672894</v>
      </c>
      <c r="E83" s="12">
        <f>IF(C83=0,"",(D83-C83)/C83)</f>
      </c>
    </row>
    <row r="84" spans="1:5" s="3" customFormat="1" x14ac:dyDescent="0.25">
      <c r="A84" s="3">
        <v>26523</v>
      </c>
      <c r="B84" s="3" t="s">
        <v>88</v>
      </c>
      <c r="C84" s="11">
        <v>1350307</v>
      </c>
      <c r="D84" s="11">
        <v>1620502</v>
      </c>
      <c r="E84" s="12">
        <f>IF(C84=0,"",(D84-C84)/C84)</f>
      </c>
    </row>
    <row r="85" spans="1:5" s="3" customFormat="1" x14ac:dyDescent="0.25">
      <c r="A85" s="3">
        <v>26536</v>
      </c>
      <c r="B85" s="3" t="s">
        <v>307</v>
      </c>
      <c r="C85" s="11">
        <v>359522</v>
      </c>
      <c r="D85" s="11">
        <v>384394</v>
      </c>
      <c r="E85" s="12">
        <f>IF(C85=0,"",(D85-C85)/C85)</f>
      </c>
    </row>
    <row r="86" spans="1:5" s="3" customFormat="1" x14ac:dyDescent="0.25">
      <c r="A86" s="3">
        <v>26554</v>
      </c>
      <c r="B86" s="3" t="s">
        <v>309</v>
      </c>
      <c r="C86" s="11">
        <v>186150</v>
      </c>
      <c r="D86" s="11">
        <v>250933</v>
      </c>
      <c r="E86" s="12">
        <f>IF(C86=0,"",(D86-C86)/C86)</f>
      </c>
    </row>
    <row r="87" spans="1:5" s="3" customFormat="1" x14ac:dyDescent="0.25">
      <c r="A87" s="3">
        <v>26555</v>
      </c>
      <c r="B87" s="3" t="s">
        <v>311</v>
      </c>
      <c r="C87" s="11">
        <v>860247</v>
      </c>
      <c r="D87" s="11">
        <v>1056267</v>
      </c>
      <c r="E87" s="12">
        <f>IF(C87=0,"",(D87-C87)/C87)</f>
      </c>
    </row>
    <row r="88" spans="1:5" s="3" customFormat="1" x14ac:dyDescent="0.25">
      <c r="A88" s="3">
        <v>26559</v>
      </c>
      <c r="B88" s="3" t="s">
        <v>313</v>
      </c>
      <c r="C88" s="11">
        <v>722191</v>
      </c>
      <c r="D88" s="11">
        <v>902832</v>
      </c>
      <c r="E88" s="12">
        <f>IF(C88=0,"",(D88-C88)/C88)</f>
      </c>
    </row>
    <row r="89" spans="1:5" s="3" customFormat="1" x14ac:dyDescent="0.25">
      <c r="A89" s="3">
        <v>26567</v>
      </c>
      <c r="B89" s="3" t="s">
        <v>315</v>
      </c>
      <c r="C89" s="11">
        <v>88912</v>
      </c>
      <c r="D89" s="11">
        <v>86398</v>
      </c>
      <c r="E89" s="12">
        <f>IF(C89=0,"",(D89-C89)/C89)</f>
      </c>
    </row>
    <row r="90" spans="1:5" s="3" customFormat="1" x14ac:dyDescent="0.25">
      <c r="A90" s="3">
        <v>26576</v>
      </c>
      <c r="B90" s="3" t="s">
        <v>317</v>
      </c>
      <c r="C90" s="11">
        <v>154430</v>
      </c>
      <c r="D90" s="11">
        <v>195037</v>
      </c>
      <c r="E90" s="12">
        <f>IF(C90=0,"",(D90-C90)/C90)</f>
      </c>
    </row>
    <row r="91" spans="1:5" s="3" customFormat="1" x14ac:dyDescent="0.25">
      <c r="A91" s="3">
        <v>26591</v>
      </c>
      <c r="B91" s="3" t="s">
        <v>319</v>
      </c>
      <c r="C91" s="11">
        <v>932279</v>
      </c>
      <c r="D91" s="11">
        <v>985408</v>
      </c>
      <c r="E91" s="12">
        <f>IF(C91=0,"",(D91-C91)/C91)</f>
      </c>
    </row>
    <row r="92" spans="1:5" s="3" customFormat="1" x14ac:dyDescent="0.25">
      <c r="A92" s="3">
        <v>26602</v>
      </c>
      <c r="B92" s="3" t="s">
        <v>321</v>
      </c>
      <c r="C92" s="11">
        <v>307961</v>
      </c>
      <c r="D92" s="11">
        <v>330099</v>
      </c>
      <c r="E92" s="12">
        <f>IF(C92=0,"",(D92-C92)/C92)</f>
      </c>
    </row>
    <row r="93" spans="1:5" s="3" customFormat="1" x14ac:dyDescent="0.25">
      <c r="A93" s="3">
        <v>26620</v>
      </c>
      <c r="B93" s="3" t="s">
        <v>323</v>
      </c>
      <c r="C93" s="11">
        <v>795668</v>
      </c>
      <c r="D93" s="11">
        <v>1176917</v>
      </c>
      <c r="E93" s="12">
        <f>IF(C93=0,"",(D93-C93)/C93)</f>
      </c>
    </row>
    <row r="94" spans="1:5" s="3" customFormat="1" x14ac:dyDescent="0.25">
      <c r="A94" s="3">
        <v>26634</v>
      </c>
      <c r="B94" s="3" t="s">
        <v>325</v>
      </c>
      <c r="C94" s="11">
        <v>639977</v>
      </c>
      <c r="D94" s="11">
        <v>878922</v>
      </c>
      <c r="E94" s="12">
        <f>IF(C94=0,"",(D94-C94)/C94)</f>
      </c>
    </row>
    <row r="95" spans="1:5" s="3" customFormat="1" x14ac:dyDescent="0.25">
      <c r="A95" s="3">
        <v>26922</v>
      </c>
      <c r="B95" s="3" t="s">
        <v>327</v>
      </c>
      <c r="C95" s="11">
        <v>560585</v>
      </c>
      <c r="D95" s="11">
        <v>543452</v>
      </c>
      <c r="E95" s="12">
        <f>IF(C95=0,"",(D95-C95)/C95)</f>
      </c>
    </row>
    <row r="96" spans="1:5" s="3" customFormat="1" x14ac:dyDescent="0.25">
      <c r="A96" s="3">
        <v>27238</v>
      </c>
      <c r="B96" s="3" t="s">
        <v>329</v>
      </c>
      <c r="C96" s="11">
        <v>773352</v>
      </c>
      <c r="D96" s="11">
        <v>931730</v>
      </c>
      <c r="E96" s="12">
        <f>IF(C96=0,"",(D96-C96)/C96)</f>
      </c>
    </row>
    <row r="97" spans="1:5" s="3" customFormat="1" x14ac:dyDescent="0.25">
      <c r="A97" s="3">
        <v>27269</v>
      </c>
      <c r="B97" s="3" t="s">
        <v>331</v>
      </c>
      <c r="C97" s="11">
        <v>439231</v>
      </c>
      <c r="D97" s="11">
        <v>493257</v>
      </c>
      <c r="E97" s="12">
        <f>IF(C97=0,"",(D97-C97)/C97)</f>
      </c>
    </row>
    <row r="98" spans="1:5" s="3" customFormat="1" x14ac:dyDescent="0.25">
      <c r="A98" s="3">
        <v>27385</v>
      </c>
      <c r="B98" s="3" t="s">
        <v>333</v>
      </c>
      <c r="C98" s="11">
        <v>103572</v>
      </c>
      <c r="D98" s="11">
        <v>97087</v>
      </c>
      <c r="E98" s="12">
        <f>IF(C98=0,"",(D98-C98)/C98)</f>
      </c>
    </row>
    <row r="99" spans="1:5" s="3" customFormat="1" x14ac:dyDescent="0.25">
      <c r="A99" s="3">
        <v>27567</v>
      </c>
      <c r="B99" s="3" t="s">
        <v>910</v>
      </c>
      <c r="C99" s="11">
        <v>109576</v>
      </c>
      <c r="D99" s="11">
        <v>104448</v>
      </c>
      <c r="E99" s="12">
        <f>IF(C99=0,"",(D99-C99)/C99)</f>
      </c>
    </row>
    <row r="100" spans="1:5" s="3" customFormat="1" x14ac:dyDescent="0.25">
      <c r="A100" s="3">
        <v>27619</v>
      </c>
      <c r="B100" s="3" t="s">
        <v>335</v>
      </c>
      <c r="C100" s="11">
        <v>918090</v>
      </c>
      <c r="D100" s="11">
        <v>1307724</v>
      </c>
      <c r="E100" s="12">
        <f>IF(C100=0,"",(D100-C100)/C100)</f>
      </c>
    </row>
    <row r="101" spans="1:5" s="3" customFormat="1" x14ac:dyDescent="0.25">
      <c r="A101" s="3">
        <v>27643</v>
      </c>
      <c r="B101" s="3" t="s">
        <v>337</v>
      </c>
      <c r="C101" s="11">
        <v>259330</v>
      </c>
      <c r="D101" s="11">
        <v>282964</v>
      </c>
      <c r="E101" s="12">
        <f>IF(C101=0,"",(D101-C101)/C101)</f>
      </c>
    </row>
    <row r="102" spans="1:5" s="3" customFormat="1" x14ac:dyDescent="0.25">
      <c r="A102" s="3">
        <v>27664</v>
      </c>
      <c r="B102" s="3" t="s">
        <v>339</v>
      </c>
      <c r="C102" s="11">
        <v>487362</v>
      </c>
      <c r="D102" s="11">
        <v>501074</v>
      </c>
      <c r="E102" s="12">
        <f>IF(C102=0,"",(D102-C102)/C102)</f>
      </c>
    </row>
    <row r="103" spans="1:5" s="3" customFormat="1" x14ac:dyDescent="0.25">
      <c r="A103" s="3">
        <v>27678</v>
      </c>
      <c r="B103" s="3" t="s">
        <v>130</v>
      </c>
      <c r="C103" s="11">
        <v>536877</v>
      </c>
      <c r="D103" s="11">
        <v>616151</v>
      </c>
      <c r="E103" s="12">
        <f>IF(C103=0,"",(D103-C103)/C103)</f>
      </c>
    </row>
    <row r="104" spans="1:5" s="3" customFormat="1" x14ac:dyDescent="0.25">
      <c r="A104" s="3">
        <v>27686</v>
      </c>
      <c r="B104" s="3" t="s">
        <v>341</v>
      </c>
      <c r="C104" s="11">
        <v>577080</v>
      </c>
      <c r="D104" s="11">
        <v>622521</v>
      </c>
      <c r="E104" s="12">
        <f>IF(C104=0,"",(D104-C104)/C104)</f>
      </c>
    </row>
    <row r="105" spans="1:5" s="3" customFormat="1" x14ac:dyDescent="0.25">
      <c r="A105" s="3">
        <v>27697</v>
      </c>
      <c r="B105" s="3" t="s">
        <v>343</v>
      </c>
      <c r="C105" s="11">
        <v>452796</v>
      </c>
      <c r="D105" s="11">
        <v>535316</v>
      </c>
      <c r="E105" s="12">
        <f>IF(C105=0,"",(D105-C105)/C105)</f>
      </c>
    </row>
    <row r="106" spans="1:5" s="3" customFormat="1" x14ac:dyDescent="0.25">
      <c r="A106" s="3">
        <v>27711</v>
      </c>
      <c r="B106" s="3" t="s">
        <v>346</v>
      </c>
      <c r="C106" s="11">
        <v>323074</v>
      </c>
      <c r="D106" s="11">
        <v>334725</v>
      </c>
      <c r="E106" s="12">
        <f>IF(C106=0,"",(D106-C106)/C106)</f>
      </c>
    </row>
    <row r="107" spans="1:5" s="3" customFormat="1" x14ac:dyDescent="0.25">
      <c r="A107" s="3">
        <v>27716</v>
      </c>
      <c r="B107" s="3" t="s">
        <v>348</v>
      </c>
      <c r="C107" s="11">
        <v>44404</v>
      </c>
      <c r="D107" s="11">
        <v>37545</v>
      </c>
      <c r="E107" s="12">
        <f>IF(C107=0,"",(D107-C107)/C107)</f>
      </c>
    </row>
    <row r="108" spans="1:5" s="3" customFormat="1" x14ac:dyDescent="0.25">
      <c r="A108" s="3">
        <v>27723</v>
      </c>
      <c r="B108" s="3" t="s">
        <v>350</v>
      </c>
      <c r="C108" s="11">
        <v>221589</v>
      </c>
      <c r="D108" s="11">
        <v>251463</v>
      </c>
      <c r="E108" s="12">
        <f>IF(C108=0,"",(D108-C108)/C108)</f>
      </c>
    </row>
    <row r="109" spans="1:5" s="3" customFormat="1" x14ac:dyDescent="0.25">
      <c r="A109" s="3">
        <v>27727</v>
      </c>
      <c r="B109" s="3" t="s">
        <v>133</v>
      </c>
      <c r="C109" s="11">
        <v>148350</v>
      </c>
      <c r="D109" s="11">
        <v>190505</v>
      </c>
      <c r="E109" s="12">
        <f>IF(C109=0,"",(D109-C109)/C109)</f>
      </c>
    </row>
    <row r="110" spans="1:5" s="3" customFormat="1" x14ac:dyDescent="0.25">
      <c r="A110" s="3">
        <v>27752</v>
      </c>
      <c r="B110" s="3" t="s">
        <v>352</v>
      </c>
      <c r="C110" s="11">
        <v>258851</v>
      </c>
      <c r="D110" s="11">
        <v>244657</v>
      </c>
      <c r="E110" s="12">
        <f>IF(C110=0,"",(D110-C110)/C110)</f>
      </c>
    </row>
    <row r="111" spans="1:5" s="3" customFormat="1" x14ac:dyDescent="0.25">
      <c r="A111" s="3">
        <v>27763</v>
      </c>
      <c r="B111" s="3" t="s">
        <v>354</v>
      </c>
      <c r="C111" s="11">
        <v>506725</v>
      </c>
      <c r="D111" s="11">
        <v>673050</v>
      </c>
      <c r="E111" s="12">
        <f>IF(C111=0,"",(D111-C111)/C111)</f>
      </c>
    </row>
    <row r="112" spans="1:5" s="3" customFormat="1" x14ac:dyDescent="0.25">
      <c r="A112" s="3">
        <v>27767</v>
      </c>
      <c r="B112" s="3" t="s">
        <v>356</v>
      </c>
      <c r="C112" s="11">
        <v>161138</v>
      </c>
      <c r="D112" s="11">
        <v>146115</v>
      </c>
      <c r="E112" s="12">
        <f>IF(C112=0,"",(D112-C112)/C112)</f>
      </c>
    </row>
    <row r="113" spans="1:5" s="3" customFormat="1" x14ac:dyDescent="0.25">
      <c r="A113" s="3">
        <v>27774</v>
      </c>
      <c r="B113" s="3" t="s">
        <v>358</v>
      </c>
      <c r="C113" s="11">
        <v>2774625</v>
      </c>
      <c r="D113" s="11">
        <v>4028761</v>
      </c>
      <c r="E113" s="12">
        <f>IF(C113=0,"",(D113-C113)/C113)</f>
      </c>
    </row>
    <row r="114" spans="1:5" s="3" customFormat="1" x14ac:dyDescent="0.25">
      <c r="A114" s="3">
        <v>27806</v>
      </c>
      <c r="B114" s="3" t="s">
        <v>361</v>
      </c>
      <c r="C114" s="11">
        <v>275118</v>
      </c>
      <c r="D114" s="11">
        <v>282485</v>
      </c>
      <c r="E114" s="12">
        <f>IF(C114=0,"",(D114-C114)/C114)</f>
      </c>
    </row>
    <row r="115" spans="1:5" s="3" customFormat="1" x14ac:dyDescent="0.25">
      <c r="A115" s="3">
        <v>27824</v>
      </c>
      <c r="B115" s="3" t="s">
        <v>363</v>
      </c>
      <c r="C115" s="11">
        <v>487232</v>
      </c>
      <c r="D115" s="11">
        <v>570380</v>
      </c>
      <c r="E115" s="12">
        <f>IF(C115=0,"",(D115-C115)/C115)</f>
      </c>
    </row>
    <row r="116" spans="1:5" s="3" customFormat="1" x14ac:dyDescent="0.25">
      <c r="A116" s="3">
        <v>27841</v>
      </c>
      <c r="B116" s="3" t="s">
        <v>365</v>
      </c>
      <c r="C116" s="11">
        <v>43101</v>
      </c>
      <c r="D116" s="11">
        <v>40591</v>
      </c>
      <c r="E116" s="12">
        <f>IF(C116=0,"",(D116-C116)/C116)</f>
      </c>
    </row>
    <row r="117" spans="1:5" s="3" customFormat="1" x14ac:dyDescent="0.25">
      <c r="A117" s="3">
        <v>27884</v>
      </c>
      <c r="B117" s="3" t="s">
        <v>367</v>
      </c>
      <c r="C117" s="11">
        <v>553086</v>
      </c>
      <c r="D117" s="11">
        <v>538595</v>
      </c>
      <c r="E117" s="12">
        <f>IF(C117=0,"",(D117-C117)/C117)</f>
      </c>
    </row>
    <row r="118" spans="1:5" s="3" customFormat="1" x14ac:dyDescent="0.25">
      <c r="A118" s="3">
        <v>27897</v>
      </c>
      <c r="B118" s="3" t="s">
        <v>911</v>
      </c>
      <c r="C118" s="11">
        <v>44872</v>
      </c>
      <c r="D118" s="11">
        <v>42726</v>
      </c>
      <c r="E118" s="12">
        <f>IF(C118=0,"",(D118-C118)/C118)</f>
      </c>
    </row>
    <row r="119" spans="1:5" s="3" customFormat="1" x14ac:dyDescent="0.25">
      <c r="A119" s="3">
        <v>27898</v>
      </c>
      <c r="B119" s="3" t="s">
        <v>370</v>
      </c>
      <c r="C119" s="11">
        <v>88020</v>
      </c>
      <c r="D119" s="11">
        <v>133076</v>
      </c>
      <c r="E119" s="12">
        <f>IF(C119=0,"",(D119-C119)/C119)</f>
      </c>
    </row>
    <row r="120" spans="1:5" s="3" customFormat="1" x14ac:dyDescent="0.25">
      <c r="A120" s="3">
        <v>27910</v>
      </c>
      <c r="B120" s="3" t="s">
        <v>912</v>
      </c>
      <c r="C120" s="11">
        <v>117869</v>
      </c>
      <c r="D120" s="11">
        <v>118574</v>
      </c>
      <c r="E120" s="12">
        <f>IF(C120=0,"",(D120-C120)/C120)</f>
      </c>
    </row>
    <row r="121" spans="1:5" s="3" customFormat="1" x14ac:dyDescent="0.25">
      <c r="A121" s="3">
        <v>27943</v>
      </c>
      <c r="B121" s="3" t="s">
        <v>373</v>
      </c>
      <c r="C121" s="11">
        <v>906837</v>
      </c>
      <c r="D121" s="11">
        <v>1040700</v>
      </c>
      <c r="E121" s="12">
        <f>IF(C121=0,"",(D121-C121)/C121)</f>
      </c>
    </row>
    <row r="122" spans="1:5" s="3" customFormat="1" x14ac:dyDescent="0.25">
      <c r="A122" s="3">
        <v>27965</v>
      </c>
      <c r="B122" s="3" t="s">
        <v>375</v>
      </c>
      <c r="C122" s="11">
        <v>212611</v>
      </c>
      <c r="D122" s="11">
        <v>263050</v>
      </c>
      <c r="E122" s="12">
        <f>IF(C122=0,"",(D122-C122)/C122)</f>
      </c>
    </row>
    <row r="123" spans="1:5" s="3" customFormat="1" x14ac:dyDescent="0.25">
      <c r="A123" s="3">
        <v>28035</v>
      </c>
      <c r="B123" s="3" t="s">
        <v>377</v>
      </c>
      <c r="C123" s="11">
        <v>109668</v>
      </c>
      <c r="D123" s="11">
        <v>155591</v>
      </c>
      <c r="E123" s="12">
        <f>IF(C123=0,"",(D123-C123)/C123)</f>
      </c>
    </row>
    <row r="124" spans="1:5" s="3" customFormat="1" x14ac:dyDescent="0.25">
      <c r="A124" s="3">
        <v>28060</v>
      </c>
      <c r="B124" s="3" t="s">
        <v>365</v>
      </c>
      <c r="C124" s="11">
        <v>161562</v>
      </c>
      <c r="D124" s="11">
        <v>186592</v>
      </c>
      <c r="E124" s="12">
        <f>IF(C124=0,"",(D124-C124)/C124)</f>
      </c>
    </row>
    <row r="125" spans="1:5" s="3" customFormat="1" x14ac:dyDescent="0.25">
      <c r="A125" s="3">
        <v>28063</v>
      </c>
      <c r="B125" s="3" t="s">
        <v>380</v>
      </c>
      <c r="C125" s="11">
        <v>80245</v>
      </c>
      <c r="D125" s="11">
        <v>82394</v>
      </c>
      <c r="E125" s="12">
        <f>IF(C125=0,"",(D125-C125)/C125)</f>
      </c>
    </row>
    <row r="126" spans="1:5" s="3" customFormat="1" x14ac:dyDescent="0.25">
      <c r="A126" s="3">
        <v>28080</v>
      </c>
      <c r="B126" s="3" t="s">
        <v>382</v>
      </c>
      <c r="C126" s="11">
        <v>250231</v>
      </c>
      <c r="D126" s="11">
        <v>273464</v>
      </c>
      <c r="E126" s="12">
        <f>IF(C126=0,"",(D126-C126)/C126)</f>
      </c>
    </row>
    <row r="127" spans="1:5" s="3" customFormat="1" x14ac:dyDescent="0.25">
      <c r="A127" s="3">
        <v>28103</v>
      </c>
      <c r="B127" s="3" t="s">
        <v>384</v>
      </c>
      <c r="C127" s="11">
        <v>132399</v>
      </c>
      <c r="D127" s="11">
        <v>116127</v>
      </c>
      <c r="E127" s="12">
        <f>IF(C127=0,"",(D127-C127)/C127)</f>
      </c>
    </row>
    <row r="128" spans="1:5" s="3" customFormat="1" x14ac:dyDescent="0.25">
      <c r="A128" s="3">
        <v>28116</v>
      </c>
      <c r="B128" s="3" t="s">
        <v>386</v>
      </c>
      <c r="C128" s="11">
        <v>2019897</v>
      </c>
      <c r="D128" s="11">
        <v>2011548</v>
      </c>
      <c r="E128" s="12">
        <f>IF(C128=0,"",(D128-C128)/C128)</f>
      </c>
    </row>
    <row r="129" spans="1:5" s="3" customFormat="1" x14ac:dyDescent="0.25">
      <c r="A129" s="3">
        <v>28155</v>
      </c>
      <c r="B129" s="3" t="s">
        <v>388</v>
      </c>
      <c r="C129" s="11">
        <v>297675</v>
      </c>
      <c r="D129" s="11">
        <v>310376</v>
      </c>
      <c r="E129" s="12">
        <f>IF(C129=0,"",(D129-C129)/C129)</f>
      </c>
    </row>
    <row r="130" spans="1:5" s="3" customFormat="1" x14ac:dyDescent="0.25">
      <c r="A130" s="3">
        <v>28157</v>
      </c>
      <c r="B130" s="3" t="s">
        <v>136</v>
      </c>
      <c r="C130" s="11">
        <v>128699</v>
      </c>
      <c r="D130" s="11">
        <v>191045</v>
      </c>
      <c r="E130" s="12">
        <f>IF(C130=0,"",(D130-C130)/C130)</f>
      </c>
    </row>
    <row r="131" spans="1:5" s="3" customFormat="1" x14ac:dyDescent="0.25">
      <c r="A131" s="3">
        <v>28186</v>
      </c>
      <c r="B131" s="3" t="s">
        <v>390</v>
      </c>
      <c r="C131" s="11">
        <v>189253</v>
      </c>
      <c r="D131" s="11">
        <v>223362</v>
      </c>
      <c r="E131" s="12">
        <f>IF(C131=0,"",(D131-C131)/C131)</f>
      </c>
    </row>
    <row r="132" spans="1:5" s="3" customFormat="1" x14ac:dyDescent="0.25">
      <c r="A132" s="3">
        <v>28208</v>
      </c>
      <c r="B132" s="3" t="s">
        <v>392</v>
      </c>
      <c r="C132" s="11">
        <v>332596</v>
      </c>
      <c r="D132" s="11">
        <v>395540</v>
      </c>
      <c r="E132" s="12">
        <f>IF(C132=0,"",(D132-C132)/C132)</f>
      </c>
    </row>
    <row r="133" spans="1:5" s="3" customFormat="1" x14ac:dyDescent="0.25">
      <c r="A133" s="3">
        <v>28213</v>
      </c>
      <c r="B133" s="3" t="s">
        <v>395</v>
      </c>
      <c r="C133" s="11">
        <v>344965</v>
      </c>
      <c r="D133" s="11">
        <v>418714</v>
      </c>
      <c r="E133" s="12">
        <f>IF(C133=0,"",(D133-C133)/C133)</f>
      </c>
    </row>
    <row r="134" spans="1:5" s="3" customFormat="1" x14ac:dyDescent="0.25">
      <c r="A134" s="3">
        <v>28217</v>
      </c>
      <c r="B134" s="3" t="s">
        <v>397</v>
      </c>
      <c r="C134" s="11">
        <v>58889</v>
      </c>
      <c r="D134" s="11">
        <v>100257</v>
      </c>
      <c r="E134" s="12">
        <f>IF(C134=0,"",(D134-C134)/C134)</f>
      </c>
    </row>
    <row r="135" spans="1:5" s="3" customFormat="1" x14ac:dyDescent="0.25">
      <c r="A135" s="3">
        <v>28222</v>
      </c>
      <c r="B135" s="3" t="s">
        <v>399</v>
      </c>
      <c r="C135" s="11">
        <v>376834</v>
      </c>
      <c r="D135" s="11">
        <v>410874</v>
      </c>
      <c r="E135" s="12">
        <f>IF(C135=0,"",(D135-C135)/C135)</f>
      </c>
    </row>
    <row r="136" spans="1:5" s="3" customFormat="1" x14ac:dyDescent="0.25">
      <c r="A136" s="3">
        <v>28246</v>
      </c>
      <c r="B136" s="3" t="s">
        <v>401</v>
      </c>
      <c r="C136" s="11">
        <v>78814</v>
      </c>
      <c r="D136" s="11">
        <v>113328</v>
      </c>
      <c r="E136" s="12">
        <f>IF(C136=0,"",(D136-C136)/C136)</f>
      </c>
    </row>
    <row r="137" spans="1:5" s="3" customFormat="1" x14ac:dyDescent="0.25">
      <c r="A137" s="3">
        <v>28266</v>
      </c>
      <c r="B137" s="3" t="s">
        <v>90</v>
      </c>
      <c r="C137" s="11">
        <v>66091</v>
      </c>
      <c r="D137" s="11">
        <v>74003</v>
      </c>
      <c r="E137" s="12">
        <f>IF(C137=0,"",(D137-C137)/C137)</f>
      </c>
    </row>
    <row r="138" spans="1:5" s="3" customFormat="1" x14ac:dyDescent="0.25">
      <c r="A138" s="3">
        <v>28277</v>
      </c>
      <c r="B138" s="3" t="s">
        <v>404</v>
      </c>
      <c r="C138" s="11">
        <v>257996</v>
      </c>
      <c r="D138" s="11">
        <v>279067</v>
      </c>
      <c r="E138" s="12">
        <f>IF(C138=0,"",(D138-C138)/C138)</f>
      </c>
    </row>
    <row r="139" spans="1:5" s="3" customFormat="1" x14ac:dyDescent="0.25">
      <c r="A139" s="3">
        <v>28288</v>
      </c>
      <c r="B139" s="3" t="s">
        <v>406</v>
      </c>
      <c r="C139" s="11">
        <v>90944</v>
      </c>
      <c r="D139" s="11">
        <v>101808</v>
      </c>
      <c r="E139" s="12">
        <f>IF(C139=0,"",(D139-C139)/C139)</f>
      </c>
    </row>
    <row r="140" spans="1:5" s="3" customFormat="1" x14ac:dyDescent="0.25">
      <c r="A140" s="3">
        <v>28302</v>
      </c>
      <c r="B140" s="3" t="s">
        <v>408</v>
      </c>
      <c r="C140" s="11">
        <v>88491</v>
      </c>
      <c r="D140" s="11">
        <v>97967</v>
      </c>
      <c r="E140" s="12">
        <f>IF(C140=0,"",(D140-C140)/C140)</f>
      </c>
    </row>
    <row r="141" spans="1:5" s="3" customFormat="1" x14ac:dyDescent="0.25">
      <c r="A141" s="3">
        <v>28314</v>
      </c>
      <c r="B141" s="3" t="s">
        <v>410</v>
      </c>
      <c r="C141" s="11">
        <v>95798</v>
      </c>
      <c r="D141" s="11">
        <v>94454</v>
      </c>
      <c r="E141" s="12">
        <f>IF(C141=0,"",(D141-C141)/C141)</f>
      </c>
    </row>
    <row r="142" spans="1:5" s="3" customFormat="1" x14ac:dyDescent="0.25">
      <c r="A142" s="3">
        <v>28315</v>
      </c>
      <c r="B142" s="3" t="s">
        <v>412</v>
      </c>
      <c r="C142" s="11">
        <v>140107</v>
      </c>
      <c r="D142" s="11">
        <v>136066</v>
      </c>
      <c r="E142" s="12">
        <f>IF(C142=0,"",(D142-C142)/C142)</f>
      </c>
    </row>
    <row r="143" spans="1:5" s="3" customFormat="1" x14ac:dyDescent="0.25">
      <c r="A143" s="3">
        <v>28316</v>
      </c>
      <c r="B143" s="3" t="s">
        <v>414</v>
      </c>
      <c r="C143" s="11">
        <v>1004612</v>
      </c>
      <c r="D143" s="11">
        <v>1266430</v>
      </c>
      <c r="E143" s="12">
        <f>IF(C143=0,"",(D143-C143)/C143)</f>
      </c>
    </row>
    <row r="144" spans="1:5" s="3" customFormat="1" x14ac:dyDescent="0.25">
      <c r="A144" s="3">
        <v>28348</v>
      </c>
      <c r="B144" s="3" t="s">
        <v>416</v>
      </c>
      <c r="C144" s="11">
        <v>419610</v>
      </c>
      <c r="D144" s="11">
        <v>592904</v>
      </c>
      <c r="E144" s="12">
        <f>IF(C144=0,"",(D144-C144)/C144)</f>
      </c>
    </row>
    <row r="145" spans="1:5" s="3" customFormat="1" x14ac:dyDescent="0.25">
      <c r="A145" s="3">
        <v>28368</v>
      </c>
      <c r="B145" s="3" t="s">
        <v>418</v>
      </c>
      <c r="C145" s="11">
        <v>455591</v>
      </c>
      <c r="D145" s="11">
        <v>641694</v>
      </c>
      <c r="E145" s="12">
        <f>IF(C145=0,"",(D145-C145)/C145)</f>
      </c>
    </row>
    <row r="146" spans="1:5" s="3" customFormat="1" x14ac:dyDescent="0.25">
      <c r="A146" s="3">
        <v>28369</v>
      </c>
      <c r="B146" s="3" t="s">
        <v>420</v>
      </c>
      <c r="C146" s="11">
        <v>88042</v>
      </c>
      <c r="D146" s="11">
        <v>93010</v>
      </c>
      <c r="E146" s="12">
        <f>IF(C146=0,"",(D146-C146)/C146)</f>
      </c>
    </row>
    <row r="147" spans="1:5" s="3" customFormat="1" x14ac:dyDescent="0.25">
      <c r="A147" s="3">
        <v>28401</v>
      </c>
      <c r="B147" s="3" t="s">
        <v>422</v>
      </c>
      <c r="C147" s="11">
        <v>402961</v>
      </c>
      <c r="D147" s="11">
        <v>439360</v>
      </c>
      <c r="E147" s="12">
        <f>IF(C147=0,"",(D147-C147)/C147)</f>
      </c>
    </row>
    <row r="148" spans="1:5" s="3" customFormat="1" x14ac:dyDescent="0.25">
      <c r="A148" s="3">
        <v>28425</v>
      </c>
      <c r="B148" s="3" t="s">
        <v>424</v>
      </c>
      <c r="C148" s="11">
        <v>196159</v>
      </c>
      <c r="D148" s="11">
        <v>193030</v>
      </c>
      <c r="E148" s="12">
        <f>IF(C148=0,"",(D148-C148)/C148)</f>
      </c>
    </row>
    <row r="149" spans="1:5" s="3" customFormat="1" x14ac:dyDescent="0.25">
      <c r="A149" s="3">
        <v>28463</v>
      </c>
      <c r="B149" s="3" t="s">
        <v>213</v>
      </c>
      <c r="C149" s="11">
        <v>59159</v>
      </c>
      <c r="D149" s="11">
        <v>56597</v>
      </c>
      <c r="E149" s="12">
        <f>IF(C149=0,"",(D149-C149)/C149)</f>
      </c>
    </row>
    <row r="150" spans="1:5" s="3" customFormat="1" x14ac:dyDescent="0.25">
      <c r="A150" s="3">
        <v>28471</v>
      </c>
      <c r="B150" s="3" t="s">
        <v>427</v>
      </c>
      <c r="C150" s="11">
        <v>292760</v>
      </c>
      <c r="D150" s="11">
        <v>358491</v>
      </c>
      <c r="E150" s="12">
        <f>IF(C150=0,"",(D150-C150)/C150)</f>
      </c>
    </row>
    <row r="151" spans="1:5" s="3" customFormat="1" x14ac:dyDescent="0.25">
      <c r="A151" s="3">
        <v>28478</v>
      </c>
      <c r="B151" s="3" t="s">
        <v>429</v>
      </c>
      <c r="C151" s="11">
        <v>121151</v>
      </c>
      <c r="D151" s="11">
        <v>115965</v>
      </c>
      <c r="E151" s="12">
        <f>IF(C151=0,"",(D151-C151)/C151)</f>
      </c>
    </row>
    <row r="152" spans="1:5" s="3" customFormat="1" x14ac:dyDescent="0.25">
      <c r="A152" s="3">
        <v>28480</v>
      </c>
      <c r="B152" s="3" t="s">
        <v>138</v>
      </c>
      <c r="C152" s="11">
        <v>24537</v>
      </c>
      <c r="D152" s="11">
        <v>21202</v>
      </c>
      <c r="E152" s="12">
        <f>IF(C152=0,"",(D152-C152)/C152)</f>
      </c>
    </row>
    <row r="153" spans="1:5" s="3" customFormat="1" x14ac:dyDescent="0.25">
      <c r="A153" s="3">
        <v>28507</v>
      </c>
      <c r="B153" s="3" t="s">
        <v>431</v>
      </c>
      <c r="C153" s="11">
        <v>55742</v>
      </c>
      <c r="D153" s="11">
        <v>70526</v>
      </c>
      <c r="E153" s="12">
        <f>IF(C153=0,"",(D153-C153)/C153)</f>
      </c>
    </row>
    <row r="154" spans="1:5" s="3" customFormat="1" x14ac:dyDescent="0.25">
      <c r="A154" s="3">
        <v>28515</v>
      </c>
      <c r="B154" s="3" t="s">
        <v>433</v>
      </c>
      <c r="C154" s="11">
        <v>379282</v>
      </c>
      <c r="D154" s="11">
        <v>382873</v>
      </c>
      <c r="E154" s="12">
        <f>IF(C154=0,"",(D154-C154)/C154)</f>
      </c>
    </row>
    <row r="155" spans="1:5" s="3" customFormat="1" x14ac:dyDescent="0.25">
      <c r="A155" s="3">
        <v>28530</v>
      </c>
      <c r="B155" s="3" t="s">
        <v>435</v>
      </c>
      <c r="C155" s="11">
        <v>935505</v>
      </c>
      <c r="D155" s="11">
        <v>1205618</v>
      </c>
      <c r="E155" s="12">
        <f>IF(C155=0,"",(D155-C155)/C155)</f>
      </c>
    </row>
    <row r="156" spans="1:5" s="3" customFormat="1" x14ac:dyDescent="0.25">
      <c r="A156" s="3">
        <v>28555</v>
      </c>
      <c r="B156" s="3" t="s">
        <v>437</v>
      </c>
      <c r="C156" s="11">
        <v>153786</v>
      </c>
      <c r="D156" s="11">
        <v>187507</v>
      </c>
      <c r="E156" s="12">
        <f>IF(C156=0,"",(D156-C156)/C156)</f>
      </c>
    </row>
    <row r="157" spans="1:5" s="3" customFormat="1" x14ac:dyDescent="0.25">
      <c r="A157" s="3">
        <v>28585</v>
      </c>
      <c r="B157" s="3" t="s">
        <v>439</v>
      </c>
      <c r="C157" s="11">
        <v>92265</v>
      </c>
      <c r="D157" s="11">
        <v>123057</v>
      </c>
      <c r="E157" s="12">
        <f>IF(C157=0,"",(D157-C157)/C157)</f>
      </c>
    </row>
    <row r="158" spans="1:5" s="3" customFormat="1" x14ac:dyDescent="0.25">
      <c r="A158" s="3">
        <v>28599</v>
      </c>
      <c r="B158" s="3" t="s">
        <v>441</v>
      </c>
      <c r="C158" s="11">
        <v>914024</v>
      </c>
      <c r="D158" s="11">
        <v>1008303</v>
      </c>
      <c r="E158" s="12">
        <f>IF(C158=0,"",(D158-C158)/C158)</f>
      </c>
    </row>
    <row r="159" spans="1:5" s="3" customFormat="1" x14ac:dyDescent="0.25">
      <c r="A159" s="3">
        <v>28614</v>
      </c>
      <c r="B159" s="3" t="s">
        <v>443</v>
      </c>
      <c r="C159" s="11">
        <v>336426</v>
      </c>
      <c r="D159" s="11">
        <v>326863</v>
      </c>
      <c r="E159" s="12">
        <f>IF(C159=0,"",(D159-C159)/C159)</f>
      </c>
    </row>
    <row r="160" spans="1:5" s="3" customFormat="1" x14ac:dyDescent="0.25">
      <c r="A160" s="3">
        <v>28637</v>
      </c>
      <c r="B160" s="3" t="s">
        <v>445</v>
      </c>
      <c r="C160" s="11">
        <v>70660</v>
      </c>
      <c r="D160" s="11">
        <v>89614</v>
      </c>
      <c r="E160" s="12">
        <f>IF(C160=0,"",(D160-C160)/C160)</f>
      </c>
    </row>
    <row r="161" spans="1:5" s="3" customFormat="1" x14ac:dyDescent="0.25">
      <c r="A161" s="3">
        <v>28652</v>
      </c>
      <c r="B161" s="3" t="s">
        <v>447</v>
      </c>
      <c r="C161" s="11">
        <v>48817</v>
      </c>
      <c r="D161" s="11">
        <v>63470</v>
      </c>
      <c r="E161" s="12">
        <f>IF(C161=0,"",(D161-C161)/C161)</f>
      </c>
    </row>
    <row r="162" spans="1:5" s="3" customFormat="1" x14ac:dyDescent="0.25">
      <c r="A162" s="3">
        <v>28663</v>
      </c>
      <c r="B162" s="3" t="s">
        <v>450</v>
      </c>
      <c r="C162" s="11">
        <v>44181</v>
      </c>
      <c r="D162" s="11">
        <v>44332</v>
      </c>
      <c r="E162" s="12">
        <f>IF(C162=0,"",(D162-C162)/C162)</f>
      </c>
    </row>
    <row r="163" spans="1:5" s="3" customFormat="1" x14ac:dyDescent="0.25">
      <c r="A163" s="3">
        <v>28667</v>
      </c>
      <c r="B163" s="3" t="s">
        <v>452</v>
      </c>
      <c r="C163" s="11">
        <v>77986</v>
      </c>
      <c r="D163" s="11">
        <v>73266</v>
      </c>
      <c r="E163" s="12">
        <f>IF(C163=0,"",(D163-C163)/C163)</f>
      </c>
    </row>
    <row r="164" spans="1:5" s="3" customFormat="1" x14ac:dyDescent="0.25">
      <c r="A164" s="3">
        <v>28677</v>
      </c>
      <c r="B164" s="3" t="s">
        <v>455</v>
      </c>
      <c r="C164" s="11">
        <v>82582</v>
      </c>
      <c r="D164" s="11">
        <v>76375</v>
      </c>
      <c r="E164" s="12">
        <f>IF(C164=0,"",(D164-C164)/C164)</f>
      </c>
    </row>
    <row r="165" spans="1:5" s="3" customFormat="1" x14ac:dyDescent="0.25">
      <c r="A165" s="3">
        <v>28679</v>
      </c>
      <c r="B165" s="3" t="s">
        <v>457</v>
      </c>
      <c r="C165" s="11">
        <v>2582111</v>
      </c>
      <c r="D165" s="11">
        <v>2590607</v>
      </c>
      <c r="E165" s="12">
        <f>IF(C165=0,"",(D165-C165)/C165)</f>
      </c>
    </row>
    <row r="166" spans="1:5" s="3" customFormat="1" x14ac:dyDescent="0.25">
      <c r="A166" s="3">
        <v>28701</v>
      </c>
      <c r="B166" s="3" t="s">
        <v>459</v>
      </c>
      <c r="C166" s="11">
        <v>503452</v>
      </c>
      <c r="D166" s="11">
        <v>516761</v>
      </c>
      <c r="E166" s="12">
        <f>IF(C166=0,"",(D166-C166)/C166)</f>
      </c>
    </row>
    <row r="167" spans="1:5" s="3" customFormat="1" x14ac:dyDescent="0.25">
      <c r="A167" s="3">
        <v>28706</v>
      </c>
      <c r="B167" s="3" t="s">
        <v>461</v>
      </c>
      <c r="C167" s="11">
        <v>998487</v>
      </c>
      <c r="D167" s="11">
        <v>1039462</v>
      </c>
      <c r="E167" s="12">
        <f>IF(C167=0,"",(D167-C167)/C167)</f>
      </c>
    </row>
    <row r="168" spans="1:5" s="3" customFormat="1" x14ac:dyDescent="0.25">
      <c r="A168" s="3">
        <v>28708</v>
      </c>
      <c r="B168" s="3" t="s">
        <v>463</v>
      </c>
      <c r="C168" s="11">
        <v>128545</v>
      </c>
      <c r="D168" s="11">
        <v>156458</v>
      </c>
      <c r="E168" s="12">
        <f>IF(C168=0,"",(D168-C168)/C168)</f>
      </c>
    </row>
    <row r="169" spans="1:5" s="3" customFormat="1" x14ac:dyDescent="0.25">
      <c r="A169" s="3">
        <v>28712</v>
      </c>
      <c r="B169" s="3" t="s">
        <v>465</v>
      </c>
      <c r="C169" s="11">
        <v>164011</v>
      </c>
      <c r="D169" s="11">
        <v>185930</v>
      </c>
      <c r="E169" s="12">
        <f>IF(C169=0,"",(D169-C169)/C169)</f>
      </c>
    </row>
    <row r="170" spans="1:5" s="3" customFormat="1" x14ac:dyDescent="0.25">
      <c r="A170" s="3">
        <v>28722</v>
      </c>
      <c r="B170" s="3" t="s">
        <v>913</v>
      </c>
      <c r="C170" s="11">
        <v>3670</v>
      </c>
      <c r="D170" s="11">
        <v>3808</v>
      </c>
      <c r="E170" s="12">
        <f>IF(C170=0,"",(D170-C170)/C170)</f>
      </c>
    </row>
    <row r="171" spans="1:5" s="3" customFormat="1" x14ac:dyDescent="0.25">
      <c r="A171" s="3">
        <v>28729</v>
      </c>
      <c r="B171" s="3" t="s">
        <v>467</v>
      </c>
      <c r="C171" s="11">
        <v>338458</v>
      </c>
      <c r="D171" s="11">
        <v>388195</v>
      </c>
      <c r="E171" s="12">
        <f>IF(C171=0,"",(D171-C171)/C171)</f>
      </c>
    </row>
    <row r="172" spans="1:5" s="3" customFormat="1" x14ac:dyDescent="0.25">
      <c r="A172" s="3">
        <v>28747</v>
      </c>
      <c r="B172" s="3" t="s">
        <v>469</v>
      </c>
      <c r="C172" s="11">
        <v>466197</v>
      </c>
      <c r="D172" s="11">
        <v>477752</v>
      </c>
      <c r="E172" s="12">
        <f>IF(C172=0,"",(D172-C172)/C172)</f>
      </c>
    </row>
    <row r="173" spans="1:5" s="3" customFormat="1" x14ac:dyDescent="0.25">
      <c r="A173" s="3">
        <v>28769</v>
      </c>
      <c r="B173" s="3" t="s">
        <v>471</v>
      </c>
      <c r="C173" s="11">
        <v>140605</v>
      </c>
      <c r="D173" s="11">
        <v>139819</v>
      </c>
      <c r="E173" s="12">
        <f>IF(C173=0,"",(D173-C173)/C173)</f>
      </c>
    </row>
    <row r="174" spans="1:5" s="3" customFormat="1" x14ac:dyDescent="0.25">
      <c r="A174" s="3">
        <v>28778</v>
      </c>
      <c r="B174" s="3" t="s">
        <v>93</v>
      </c>
      <c r="C174" s="11">
        <v>649630</v>
      </c>
      <c r="D174" s="11">
        <v>1143103</v>
      </c>
      <c r="E174" s="12">
        <f>IF(C174=0,"",(D174-C174)/C174)</f>
      </c>
    </row>
    <row r="175" spans="1:5" s="3" customFormat="1" x14ac:dyDescent="0.25">
      <c r="A175" s="3">
        <v>28780</v>
      </c>
      <c r="B175" s="3" t="s">
        <v>95</v>
      </c>
      <c r="C175" s="11">
        <v>441492</v>
      </c>
      <c r="D175" s="11">
        <v>474117</v>
      </c>
      <c r="E175" s="12">
        <f>IF(C175=0,"",(D175-C175)/C175)</f>
      </c>
    </row>
    <row r="176" spans="1:5" s="3" customFormat="1" x14ac:dyDescent="0.25">
      <c r="A176" s="3">
        <v>28788</v>
      </c>
      <c r="B176" s="3" t="s">
        <v>475</v>
      </c>
      <c r="C176" s="11">
        <v>1210083</v>
      </c>
      <c r="D176" s="11">
        <v>1115178</v>
      </c>
      <c r="E176" s="12">
        <f>IF(C176=0,"",(D176-C176)/C176)</f>
      </c>
    </row>
    <row r="177" spans="1:5" s="3" customFormat="1" x14ac:dyDescent="0.25">
      <c r="A177" s="3">
        <v>28790</v>
      </c>
      <c r="B177" s="3" t="s">
        <v>477</v>
      </c>
      <c r="C177" s="11">
        <v>81451</v>
      </c>
      <c r="D177" s="11">
        <v>93881</v>
      </c>
      <c r="E177" s="12">
        <f>IF(C177=0,"",(D177-C177)/C177)</f>
      </c>
    </row>
    <row r="178" spans="1:5" s="3" customFormat="1" x14ac:dyDescent="0.25">
      <c r="A178" s="3">
        <v>28793</v>
      </c>
      <c r="B178" s="3" t="s">
        <v>479</v>
      </c>
      <c r="C178" s="11">
        <v>163306</v>
      </c>
      <c r="D178" s="11">
        <v>170750</v>
      </c>
      <c r="E178" s="12">
        <f>IF(C178=0,"",(D178-C178)/C178)</f>
      </c>
    </row>
    <row r="179" spans="1:5" s="3" customFormat="1" x14ac:dyDescent="0.25">
      <c r="A179" s="3">
        <v>28818</v>
      </c>
      <c r="B179" s="3" t="s">
        <v>481</v>
      </c>
      <c r="C179" s="11">
        <v>597039</v>
      </c>
      <c r="D179" s="11">
        <v>579600</v>
      </c>
      <c r="E179" s="12">
        <f>IF(C179=0,"",(D179-C179)/C179)</f>
      </c>
    </row>
    <row r="180" spans="1:5" s="3" customFormat="1" x14ac:dyDescent="0.25">
      <c r="A180" s="3">
        <v>28834</v>
      </c>
      <c r="B180" s="3" t="s">
        <v>483</v>
      </c>
      <c r="C180" s="11">
        <v>8784587</v>
      </c>
      <c r="D180" s="11">
        <v>11009182</v>
      </c>
      <c r="E180" s="12">
        <f>IF(C180=0,"",(D180-C180)/C180)</f>
      </c>
    </row>
    <row r="181" spans="1:5" s="3" customFormat="1" x14ac:dyDescent="0.25">
      <c r="A181" s="3">
        <v>28836</v>
      </c>
      <c r="B181" s="3" t="s">
        <v>140</v>
      </c>
      <c r="C181" s="11">
        <v>465342</v>
      </c>
      <c r="D181" s="11">
        <v>460385</v>
      </c>
      <c r="E181" s="12">
        <f>IF(C181=0,"",(D181-C181)/C181)</f>
      </c>
    </row>
    <row r="182" spans="1:5" s="3" customFormat="1" x14ac:dyDescent="0.25">
      <c r="A182" s="3">
        <v>28837</v>
      </c>
      <c r="B182" s="3" t="s">
        <v>485</v>
      </c>
      <c r="C182" s="11">
        <v>309393</v>
      </c>
      <c r="D182" s="11">
        <v>296396</v>
      </c>
      <c r="E182" s="12">
        <f>IF(C182=0,"",(D182-C182)/C182)</f>
      </c>
    </row>
    <row r="183" spans="1:5" s="3" customFormat="1" x14ac:dyDescent="0.25">
      <c r="A183" s="3">
        <v>28841</v>
      </c>
      <c r="B183" s="3" t="s">
        <v>487</v>
      </c>
      <c r="C183" s="11">
        <v>430502</v>
      </c>
      <c r="D183" s="11">
        <v>408153</v>
      </c>
      <c r="E183" s="12">
        <f>IF(C183=0,"",(D183-C183)/C183)</f>
      </c>
    </row>
    <row r="184" spans="1:5" s="3" customFormat="1" x14ac:dyDescent="0.25">
      <c r="A184" s="3">
        <v>28845</v>
      </c>
      <c r="B184" s="3" t="s">
        <v>489</v>
      </c>
      <c r="C184" s="11">
        <v>972838</v>
      </c>
      <c r="D184" s="11">
        <v>1437772</v>
      </c>
      <c r="E184" s="12">
        <f>IF(C184=0,"",(D184-C184)/C184)</f>
      </c>
    </row>
    <row r="185" spans="1:5" s="3" customFormat="1" x14ac:dyDescent="0.25">
      <c r="A185" s="3">
        <v>28859</v>
      </c>
      <c r="B185" s="3" t="s">
        <v>492</v>
      </c>
      <c r="C185" s="11">
        <v>485786</v>
      </c>
      <c r="D185" s="11">
        <v>591032</v>
      </c>
      <c r="E185" s="12">
        <f>IF(C185=0,"",(D185-C185)/C185)</f>
      </c>
    </row>
    <row r="186" spans="1:5" s="3" customFormat="1" x14ac:dyDescent="0.25">
      <c r="A186" s="3">
        <v>28860</v>
      </c>
      <c r="B186" s="3" t="s">
        <v>494</v>
      </c>
      <c r="C186" s="11">
        <v>90962</v>
      </c>
      <c r="D186" s="11">
        <v>75783</v>
      </c>
      <c r="E186" s="12">
        <f>IF(C186=0,"",(D186-C186)/C186)</f>
      </c>
    </row>
    <row r="187" spans="1:5" s="3" customFormat="1" x14ac:dyDescent="0.25">
      <c r="A187" s="3">
        <v>28870</v>
      </c>
      <c r="B187" s="3" t="s">
        <v>496</v>
      </c>
      <c r="C187" s="11">
        <v>355697</v>
      </c>
      <c r="D187" s="11">
        <v>475704</v>
      </c>
      <c r="E187" s="12">
        <f>IF(C187=0,"",(D187-C187)/C187)</f>
      </c>
    </row>
    <row r="188" spans="1:5" s="3" customFormat="1" x14ac:dyDescent="0.25">
      <c r="A188" s="3">
        <v>28894</v>
      </c>
      <c r="B188" s="3" t="s">
        <v>498</v>
      </c>
      <c r="C188" s="11">
        <v>322203</v>
      </c>
      <c r="D188" s="11">
        <v>452935</v>
      </c>
      <c r="E188" s="12">
        <f>IF(C188=0,"",(D188-C188)/C188)</f>
      </c>
    </row>
    <row r="189" spans="1:5" s="3" customFormat="1" x14ac:dyDescent="0.25">
      <c r="A189" s="3">
        <v>28908</v>
      </c>
      <c r="B189" s="3" t="s">
        <v>500</v>
      </c>
      <c r="C189" s="11">
        <v>213663</v>
      </c>
      <c r="D189" s="11">
        <v>212741</v>
      </c>
      <c r="E189" s="12">
        <f>IF(C189=0,"",(D189-C189)/C189)</f>
      </c>
    </row>
    <row r="190" spans="1:5" s="3" customFormat="1" x14ac:dyDescent="0.25">
      <c r="A190" s="3">
        <v>28914</v>
      </c>
      <c r="B190" s="3" t="s">
        <v>502</v>
      </c>
      <c r="C190" s="11">
        <v>579413</v>
      </c>
      <c r="D190" s="11">
        <v>628107</v>
      </c>
      <c r="E190" s="12">
        <f>IF(C190=0,"",(D190-C190)/C190)</f>
      </c>
    </row>
    <row r="191" spans="1:5" s="3" customFormat="1" x14ac:dyDescent="0.25">
      <c r="A191" s="3">
        <v>28924</v>
      </c>
      <c r="B191" s="3" t="s">
        <v>505</v>
      </c>
      <c r="C191" s="11">
        <v>374430</v>
      </c>
      <c r="D191" s="11">
        <v>425882</v>
      </c>
      <c r="E191" s="12">
        <f>IF(C191=0,"",(D191-C191)/C191)</f>
      </c>
    </row>
    <row r="192" spans="1:5" s="3" customFormat="1" x14ac:dyDescent="0.25">
      <c r="A192" s="3">
        <v>28925</v>
      </c>
      <c r="B192" s="3" t="s">
        <v>507</v>
      </c>
      <c r="C192" s="11">
        <v>254022</v>
      </c>
      <c r="D192" s="11">
        <v>250291</v>
      </c>
      <c r="E192" s="12">
        <f>IF(C192=0,"",(D192-C192)/C192)</f>
      </c>
    </row>
    <row r="193" spans="1:5" s="3" customFormat="1" x14ac:dyDescent="0.25">
      <c r="A193" s="3">
        <v>28942</v>
      </c>
      <c r="B193" s="3" t="s">
        <v>509</v>
      </c>
      <c r="C193" s="11">
        <v>277828</v>
      </c>
      <c r="D193" s="11">
        <v>308056</v>
      </c>
      <c r="E193" s="12">
        <f>IF(C193=0,"",(D193-C193)/C193)</f>
      </c>
    </row>
    <row r="194" spans="1:5" s="3" customFormat="1" x14ac:dyDescent="0.25">
      <c r="A194" s="3">
        <v>28949</v>
      </c>
      <c r="B194" s="3" t="s">
        <v>98</v>
      </c>
      <c r="C194" s="11">
        <v>78143</v>
      </c>
      <c r="D194" s="11">
        <v>77041</v>
      </c>
      <c r="E194" s="12">
        <f>IF(C194=0,"",(D194-C194)/C194)</f>
      </c>
    </row>
    <row r="195" spans="1:5" s="3" customFormat="1" x14ac:dyDescent="0.25">
      <c r="A195" s="3">
        <v>28983</v>
      </c>
      <c r="B195" s="3" t="s">
        <v>512</v>
      </c>
      <c r="C195" s="11">
        <v>73512</v>
      </c>
      <c r="D195" s="11">
        <v>91880</v>
      </c>
      <c r="E195" s="12">
        <f>IF(C195=0,"",(D195-C195)/C195)</f>
      </c>
    </row>
    <row r="196" spans="1:5" s="3" customFormat="1" x14ac:dyDescent="0.25">
      <c r="A196" s="3">
        <v>29005</v>
      </c>
      <c r="B196" s="3" t="s">
        <v>71</v>
      </c>
      <c r="C196" s="11">
        <v>24244</v>
      </c>
      <c r="D196" s="11">
        <v>22969</v>
      </c>
      <c r="E196" s="12">
        <f>IF(C196=0,"",(D196-C196)/C196)</f>
      </c>
    </row>
    <row r="197" spans="1:5" s="3" customFormat="1" x14ac:dyDescent="0.25">
      <c r="A197" s="3">
        <v>29009</v>
      </c>
      <c r="B197" s="3" t="s">
        <v>514</v>
      </c>
      <c r="C197" s="11">
        <v>881478</v>
      </c>
      <c r="D197" s="11">
        <v>857594</v>
      </c>
      <c r="E197" s="12">
        <f>IF(C197=0,"",(D197-C197)/C197)</f>
      </c>
    </row>
    <row r="198" spans="1:5" s="3" customFormat="1" x14ac:dyDescent="0.25">
      <c r="A198" s="3">
        <v>29024</v>
      </c>
      <c r="B198" s="3" t="s">
        <v>516</v>
      </c>
      <c r="C198" s="11">
        <v>180715</v>
      </c>
      <c r="D198" s="11">
        <v>285547</v>
      </c>
      <c r="E198" s="12">
        <f>IF(C198=0,"",(D198-C198)/C198)</f>
      </c>
    </row>
    <row r="199" spans="1:5" s="3" customFormat="1" x14ac:dyDescent="0.25">
      <c r="A199" s="3">
        <v>29035</v>
      </c>
      <c r="B199" s="3" t="s">
        <v>518</v>
      </c>
      <c r="C199" s="11">
        <v>410752</v>
      </c>
      <c r="D199" s="11">
        <v>496919</v>
      </c>
      <c r="E199" s="12">
        <f>IF(C199=0,"",(D199-C199)/C199)</f>
      </c>
    </row>
    <row r="200" spans="1:5" s="3" customFormat="1" x14ac:dyDescent="0.25">
      <c r="A200" s="3">
        <v>29047</v>
      </c>
      <c r="B200" s="3" t="s">
        <v>520</v>
      </c>
      <c r="C200" s="11">
        <v>934949</v>
      </c>
      <c r="D200" s="11">
        <v>990770</v>
      </c>
      <c r="E200" s="12">
        <f>IF(C200=0,"",(D200-C200)/C200)</f>
      </c>
    </row>
    <row r="201" spans="1:5" s="3" customFormat="1" x14ac:dyDescent="0.25">
      <c r="A201" s="3">
        <v>29059</v>
      </c>
      <c r="B201" s="3" t="s">
        <v>522</v>
      </c>
      <c r="C201" s="11">
        <v>35512</v>
      </c>
      <c r="D201" s="11">
        <v>38880</v>
      </c>
      <c r="E201" s="12">
        <f>IF(C201=0,"",(D201-C201)/C201)</f>
      </c>
    </row>
    <row r="202" spans="1:5" s="3" customFormat="1" x14ac:dyDescent="0.25">
      <c r="A202" s="3">
        <v>29061</v>
      </c>
      <c r="B202" s="3" t="s">
        <v>525</v>
      </c>
      <c r="C202" s="11">
        <v>52517</v>
      </c>
      <c r="D202" s="11">
        <v>54568</v>
      </c>
      <c r="E202" s="12">
        <f>IF(C202=0,"",(D202-C202)/C202)</f>
      </c>
    </row>
    <row r="203" spans="1:5" s="3" customFormat="1" x14ac:dyDescent="0.25">
      <c r="A203" s="3">
        <v>29066</v>
      </c>
      <c r="B203" s="3" t="s">
        <v>527</v>
      </c>
      <c r="C203" s="11">
        <v>124440</v>
      </c>
      <c r="D203" s="11">
        <v>152294</v>
      </c>
      <c r="E203" s="12">
        <f>IF(C203=0,"",(D203-C203)/C203)</f>
      </c>
    </row>
    <row r="204" spans="1:5" s="3" customFormat="1" x14ac:dyDescent="0.25">
      <c r="A204" s="3">
        <v>29090</v>
      </c>
      <c r="B204" s="3" t="s">
        <v>71</v>
      </c>
      <c r="C204" s="11">
        <v>235052</v>
      </c>
      <c r="D204" s="11">
        <v>294801</v>
      </c>
      <c r="E204" s="12">
        <f>IF(C204=0,"",(D204-C204)/C204)</f>
      </c>
    </row>
    <row r="205" spans="1:5" s="3" customFormat="1" x14ac:dyDescent="0.25">
      <c r="A205" s="3">
        <v>29121</v>
      </c>
      <c r="B205" s="3" t="s">
        <v>231</v>
      </c>
      <c r="C205" s="11">
        <v>191921</v>
      </c>
      <c r="D205" s="11">
        <v>183311</v>
      </c>
      <c r="E205" s="12">
        <f>IF(C205=0,"",(D205-C205)/C205)</f>
      </c>
    </row>
    <row r="206" spans="1:5" s="3" customFormat="1" x14ac:dyDescent="0.25">
      <c r="A206" s="3">
        <v>29135</v>
      </c>
      <c r="B206" s="3" t="s">
        <v>531</v>
      </c>
      <c r="C206" s="11">
        <v>126486</v>
      </c>
      <c r="D206" s="11">
        <v>194684</v>
      </c>
      <c r="E206" s="12">
        <f>IF(C206=0,"",(D206-C206)/C206)</f>
      </c>
    </row>
    <row r="207" spans="1:5" s="3" customFormat="1" x14ac:dyDescent="0.25">
      <c r="A207" s="3">
        <v>29164</v>
      </c>
      <c r="B207" s="3" t="s">
        <v>533</v>
      </c>
      <c r="C207" s="11">
        <v>212168</v>
      </c>
      <c r="D207" s="11">
        <v>277565</v>
      </c>
      <c r="E207" s="12">
        <f>IF(C207=0,"",(D207-C207)/C207)</f>
      </c>
    </row>
    <row r="208" spans="1:5" s="3" customFormat="1" x14ac:dyDescent="0.25">
      <c r="A208" s="3">
        <v>29170</v>
      </c>
      <c r="B208" s="3" t="s">
        <v>535</v>
      </c>
      <c r="C208" s="11">
        <v>250381</v>
      </c>
      <c r="D208" s="11">
        <v>383954</v>
      </c>
      <c r="E208" s="12">
        <f>IF(C208=0,"",(D208-C208)/C208)</f>
      </c>
    </row>
    <row r="209" spans="1:5" s="3" customFormat="1" x14ac:dyDescent="0.25">
      <c r="A209" s="3">
        <v>29173</v>
      </c>
      <c r="B209" s="3" t="s">
        <v>537</v>
      </c>
      <c r="C209" s="11">
        <v>160511</v>
      </c>
      <c r="D209" s="11">
        <v>329841</v>
      </c>
      <c r="E209" s="12">
        <f>IF(C209=0,"",(D209-C209)/C209)</f>
      </c>
    </row>
    <row r="210" spans="1:5" s="3" customFormat="1" x14ac:dyDescent="0.25">
      <c r="A210" s="3">
        <v>29186</v>
      </c>
      <c r="B210" s="3" t="s">
        <v>539</v>
      </c>
      <c r="C210" s="11">
        <v>75053</v>
      </c>
      <c r="D210" s="11">
        <v>97445</v>
      </c>
      <c r="E210" s="12">
        <f>IF(C210=0,"",(D210-C210)/C210)</f>
      </c>
    </row>
    <row r="211" spans="1:5" s="3" customFormat="1" x14ac:dyDescent="0.25">
      <c r="A211" s="3">
        <v>29188</v>
      </c>
      <c r="B211" s="3" t="s">
        <v>542</v>
      </c>
      <c r="C211" s="11">
        <v>394538</v>
      </c>
      <c r="D211" s="11">
        <v>383905</v>
      </c>
      <c r="E211" s="12">
        <f>IF(C211=0,"",(D211-C211)/C211)</f>
      </c>
    </row>
    <row r="212" spans="1:5" s="3" customFormat="1" x14ac:dyDescent="0.25">
      <c r="A212" s="3">
        <v>29208</v>
      </c>
      <c r="B212" s="3" t="s">
        <v>544</v>
      </c>
      <c r="C212" s="11">
        <v>210690</v>
      </c>
      <c r="D212" s="11">
        <v>125498</v>
      </c>
      <c r="E212" s="12">
        <f>IF(C212=0,"",(D212-C212)/C212)</f>
      </c>
    </row>
    <row r="213" spans="1:5" s="3" customFormat="1" x14ac:dyDescent="0.25">
      <c r="A213" s="3">
        <v>29227</v>
      </c>
      <c r="B213" s="3" t="s">
        <v>546</v>
      </c>
      <c r="C213" s="11">
        <v>588997</v>
      </c>
      <c r="D213" s="11">
        <v>605021</v>
      </c>
      <c r="E213" s="12">
        <f>IF(C213=0,"",(D213-C213)/C213)</f>
      </c>
    </row>
    <row r="214" spans="1:5" s="3" customFormat="1" x14ac:dyDescent="0.25">
      <c r="A214" s="3">
        <v>29231</v>
      </c>
      <c r="B214" s="3" t="s">
        <v>548</v>
      </c>
      <c r="C214" s="11">
        <v>89740</v>
      </c>
      <c r="D214" s="11">
        <v>89632</v>
      </c>
      <c r="E214" s="12">
        <f>IF(C214=0,"",(D214-C214)/C214)</f>
      </c>
    </row>
    <row r="215" spans="1:5" s="3" customFormat="1" x14ac:dyDescent="0.25">
      <c r="A215" s="3">
        <v>29238</v>
      </c>
      <c r="B215" s="3" t="s">
        <v>550</v>
      </c>
      <c r="C215" s="11">
        <v>103831</v>
      </c>
      <c r="D215" s="11">
        <v>101745</v>
      </c>
      <c r="E215" s="12">
        <f>IF(C215=0,"",(D215-C215)/C215)</f>
      </c>
    </row>
    <row r="216" spans="1:5" s="3" customFormat="1" x14ac:dyDescent="0.25">
      <c r="A216" s="3">
        <v>29241</v>
      </c>
      <c r="B216" s="3" t="s">
        <v>552</v>
      </c>
      <c r="C216" s="11">
        <v>111591</v>
      </c>
      <c r="D216" s="11">
        <v>118495</v>
      </c>
      <c r="E216" s="12">
        <f>IF(C216=0,"",(D216-C216)/C216)</f>
      </c>
    </row>
    <row r="217" spans="1:5" s="3" customFormat="1" x14ac:dyDescent="0.25">
      <c r="A217" s="3">
        <v>29293</v>
      </c>
      <c r="B217" s="3" t="s">
        <v>554</v>
      </c>
      <c r="C217" s="11">
        <v>187329</v>
      </c>
      <c r="D217" s="11">
        <v>328621</v>
      </c>
      <c r="E217" s="12">
        <f>IF(C217=0,"",(D217-C217)/C217)</f>
      </c>
    </row>
    <row r="218" spans="1:5" s="3" customFormat="1" x14ac:dyDescent="0.25">
      <c r="A218" s="3">
        <v>29294</v>
      </c>
      <c r="B218" s="3" t="s">
        <v>556</v>
      </c>
      <c r="C218" s="11">
        <v>860665</v>
      </c>
      <c r="D218" s="11">
        <v>1012360</v>
      </c>
      <c r="E218" s="12">
        <f>IF(C218=0,"",(D218-C218)/C218)</f>
      </c>
    </row>
    <row r="219" spans="1:5" s="3" customFormat="1" x14ac:dyDescent="0.25">
      <c r="A219" s="3">
        <v>29345</v>
      </c>
      <c r="B219" s="3" t="s">
        <v>71</v>
      </c>
      <c r="C219" s="11">
        <v>199910</v>
      </c>
      <c r="D219" s="11">
        <v>247265</v>
      </c>
      <c r="E219" s="12">
        <f>IF(C219=0,"",(D219-C219)/C219)</f>
      </c>
    </row>
    <row r="220" spans="1:5" s="3" customFormat="1" x14ac:dyDescent="0.25">
      <c r="A220" s="3">
        <v>29357</v>
      </c>
      <c r="B220" s="3" t="s">
        <v>559</v>
      </c>
      <c r="C220" s="11">
        <v>126904</v>
      </c>
      <c r="D220" s="11">
        <v>159328</v>
      </c>
      <c r="E220" s="12">
        <f>IF(C220=0,"",(D220-C220)/C220)</f>
      </c>
    </row>
    <row r="221" spans="1:5" s="3" customFormat="1" x14ac:dyDescent="0.25">
      <c r="A221" s="3">
        <v>29384</v>
      </c>
      <c r="B221" s="3" t="s">
        <v>561</v>
      </c>
      <c r="C221" s="11">
        <v>171848</v>
      </c>
      <c r="D221" s="11">
        <v>211123</v>
      </c>
      <c r="E221" s="12">
        <f>IF(C221=0,"",(D221-C221)/C221)</f>
      </c>
    </row>
    <row r="222" spans="1:5" s="3" customFormat="1" x14ac:dyDescent="0.25">
      <c r="A222" s="3">
        <v>29426</v>
      </c>
      <c r="B222" s="3" t="s">
        <v>563</v>
      </c>
      <c r="C222" s="11">
        <v>90320</v>
      </c>
      <c r="D222" s="11">
        <v>136240</v>
      </c>
      <c r="E222" s="12">
        <f>IF(C222=0,"",(D222-C222)/C222)</f>
      </c>
    </row>
    <row r="223" spans="1:5" s="3" customFormat="1" x14ac:dyDescent="0.25">
      <c r="A223" s="3">
        <v>29430</v>
      </c>
      <c r="B223" s="3" t="s">
        <v>565</v>
      </c>
      <c r="C223" s="11">
        <v>58319</v>
      </c>
      <c r="D223" s="11">
        <v>54011</v>
      </c>
      <c r="E223" s="12">
        <f>IF(C223=0,"",(D223-C223)/C223)</f>
      </c>
    </row>
    <row r="224" spans="1:5" s="3" customFormat="1" x14ac:dyDescent="0.25">
      <c r="A224" s="3">
        <v>29449</v>
      </c>
      <c r="B224" s="3" t="s">
        <v>567</v>
      </c>
      <c r="C224" s="11">
        <v>49492</v>
      </c>
      <c r="D224" s="11">
        <v>41945</v>
      </c>
      <c r="E224" s="12">
        <f>IF(C224=0,"",(D224-C224)/C224)</f>
      </c>
    </row>
    <row r="225" spans="1:5" s="3" customFormat="1" x14ac:dyDescent="0.25">
      <c r="A225" s="3">
        <v>29471</v>
      </c>
      <c r="B225" s="3" t="s">
        <v>569</v>
      </c>
      <c r="C225" s="11">
        <v>93342</v>
      </c>
      <c r="D225" s="11">
        <v>96185</v>
      </c>
      <c r="E225" s="12">
        <f>IF(C225=0,"",(D225-C225)/C225)</f>
      </c>
    </row>
    <row r="226" spans="1:5" s="3" customFormat="1" x14ac:dyDescent="0.25">
      <c r="A226" s="3">
        <v>29476</v>
      </c>
      <c r="B226" s="3" t="s">
        <v>571</v>
      </c>
      <c r="C226" s="11">
        <v>349477</v>
      </c>
      <c r="D226" s="11">
        <v>558609</v>
      </c>
      <c r="E226" s="12">
        <f>IF(C226=0,"",(D226-C226)/C226)</f>
      </c>
    </row>
    <row r="227" spans="1:5" s="3" customFormat="1" x14ac:dyDescent="0.25">
      <c r="A227" s="3">
        <v>29486</v>
      </c>
      <c r="B227" s="3" t="s">
        <v>574</v>
      </c>
      <c r="C227" s="11">
        <v>39835</v>
      </c>
      <c r="D227" s="11">
        <v>38073</v>
      </c>
      <c r="E227" s="12">
        <f>IF(C227=0,"",(D227-C227)/C227)</f>
      </c>
    </row>
    <row r="228" spans="1:5" s="3" customFormat="1" x14ac:dyDescent="0.25">
      <c r="A228" s="3">
        <v>29488</v>
      </c>
      <c r="B228" s="3" t="s">
        <v>576</v>
      </c>
      <c r="C228" s="11">
        <v>2207305</v>
      </c>
      <c r="D228" s="11">
        <v>2917042</v>
      </c>
      <c r="E228" s="12">
        <f>IF(C228=0,"",(D228-C228)/C228)</f>
      </c>
    </row>
    <row r="229" spans="1:5" s="3" customFormat="1" x14ac:dyDescent="0.25">
      <c r="A229" s="3">
        <v>29490</v>
      </c>
      <c r="B229" s="3" t="s">
        <v>914</v>
      </c>
      <c r="C229" s="11">
        <v>25830</v>
      </c>
      <c r="D229" s="11">
        <v>27131</v>
      </c>
      <c r="E229" s="12">
        <f>IF(C229=0,"",(D229-C229)/C229)</f>
      </c>
    </row>
    <row r="230" spans="1:5" s="3" customFormat="1" x14ac:dyDescent="0.25">
      <c r="A230" s="3">
        <v>29496</v>
      </c>
      <c r="B230" s="3" t="s">
        <v>100</v>
      </c>
      <c r="C230" s="11">
        <v>222608</v>
      </c>
      <c r="D230" s="11">
        <v>315944</v>
      </c>
      <c r="E230" s="12">
        <f>IF(C230=0,"",(D230-C230)/C230)</f>
      </c>
    </row>
    <row r="231" spans="1:5" s="3" customFormat="1" x14ac:dyDescent="0.25">
      <c r="A231" s="3">
        <v>29517</v>
      </c>
      <c r="B231" s="3" t="s">
        <v>102</v>
      </c>
      <c r="C231" s="11">
        <v>103385</v>
      </c>
      <c r="D231" s="11">
        <v>121990</v>
      </c>
      <c r="E231" s="12">
        <f>IF(C231=0,"",(D231-C231)/C231)</f>
      </c>
    </row>
    <row r="232" spans="1:5" s="3" customFormat="1" x14ac:dyDescent="0.25">
      <c r="A232" s="3">
        <v>29520</v>
      </c>
      <c r="B232" s="3" t="s">
        <v>580</v>
      </c>
      <c r="C232" s="11">
        <v>1654591</v>
      </c>
      <c r="D232" s="11">
        <v>1456256</v>
      </c>
      <c r="E232" s="12">
        <f>IF(C232=0,"",(D232-C232)/C232)</f>
      </c>
    </row>
    <row r="233" spans="1:5" s="3" customFormat="1" x14ac:dyDescent="0.25">
      <c r="A233" s="3">
        <v>29521</v>
      </c>
      <c r="B233" s="3" t="s">
        <v>582</v>
      </c>
      <c r="C233" s="11">
        <v>121499</v>
      </c>
      <c r="D233" s="11">
        <v>131433</v>
      </c>
      <c r="E233" s="12">
        <f>IF(C233=0,"",(D233-C233)/C233)</f>
      </c>
    </row>
    <row r="234" spans="1:5" s="3" customFormat="1" x14ac:dyDescent="0.25">
      <c r="A234" s="3">
        <v>29535</v>
      </c>
      <c r="B234" s="3" t="s">
        <v>105</v>
      </c>
      <c r="C234" s="11">
        <v>143749</v>
      </c>
      <c r="D234" s="11">
        <v>171245</v>
      </c>
      <c r="E234" s="12">
        <f>IF(C234=0,"",(D234-C234)/C234)</f>
      </c>
    </row>
    <row r="235" spans="1:5" s="3" customFormat="1" x14ac:dyDescent="0.25">
      <c r="A235" s="3">
        <v>29537</v>
      </c>
      <c r="B235" s="3" t="s">
        <v>585</v>
      </c>
      <c r="C235" s="11">
        <v>385054</v>
      </c>
      <c r="D235" s="11">
        <v>632450</v>
      </c>
      <c r="E235" s="12">
        <f>IF(C235=0,"",(D235-C235)/C235)</f>
      </c>
    </row>
    <row r="236" spans="1:5" s="3" customFormat="1" x14ac:dyDescent="0.25">
      <c r="A236" s="3">
        <v>29571</v>
      </c>
      <c r="B236" s="3" t="s">
        <v>107</v>
      </c>
      <c r="C236" s="11">
        <v>183227</v>
      </c>
      <c r="D236" s="11">
        <v>247789</v>
      </c>
      <c r="E236" s="12">
        <f>IF(C236=0,"",(D236-C236)/C236)</f>
      </c>
    </row>
    <row r="237" spans="1:5" s="3" customFormat="1" x14ac:dyDescent="0.25">
      <c r="A237" s="3">
        <v>29578</v>
      </c>
      <c r="B237" s="3" t="s">
        <v>589</v>
      </c>
      <c r="C237" s="11">
        <v>127436</v>
      </c>
      <c r="D237" s="11">
        <v>142794</v>
      </c>
      <c r="E237" s="12">
        <f>IF(C237=0,"",(D237-C237)/C237)</f>
      </c>
    </row>
    <row r="238" spans="1:5" s="3" customFormat="1" x14ac:dyDescent="0.25">
      <c r="A238" s="3">
        <v>29582</v>
      </c>
      <c r="B238" s="3" t="s">
        <v>915</v>
      </c>
      <c r="C238" s="11">
        <v>35171</v>
      </c>
      <c r="D238" s="11">
        <v>38206</v>
      </c>
      <c r="E238" s="12">
        <f>IF(C238=0,"",(D238-C238)/C238)</f>
      </c>
    </row>
    <row r="239" spans="1:5" s="3" customFormat="1" x14ac:dyDescent="0.25">
      <c r="A239" s="3">
        <v>29613</v>
      </c>
      <c r="B239" s="3" t="s">
        <v>109</v>
      </c>
      <c r="C239" s="11">
        <v>1021460</v>
      </c>
      <c r="D239" s="11">
        <v>1346484</v>
      </c>
      <c r="E239" s="12">
        <f>IF(C239=0,"",(D239-C239)/C239)</f>
      </c>
    </row>
    <row r="240" spans="1:5" s="3" customFormat="1" x14ac:dyDescent="0.25">
      <c r="A240" s="3">
        <v>29617</v>
      </c>
      <c r="B240" s="3" t="s">
        <v>592</v>
      </c>
      <c r="C240" s="11">
        <v>93477</v>
      </c>
      <c r="D240" s="11">
        <v>110411</v>
      </c>
      <c r="E240" s="12">
        <f>IF(C240=0,"",(D240-C240)/C240)</f>
      </c>
    </row>
    <row r="241" spans="1:5" s="3" customFormat="1" x14ac:dyDescent="0.25">
      <c r="A241" s="3">
        <v>29624</v>
      </c>
      <c r="B241" s="3" t="s">
        <v>594</v>
      </c>
      <c r="C241" s="11">
        <v>548435</v>
      </c>
      <c r="D241" s="11">
        <v>678962</v>
      </c>
      <c r="E241" s="12">
        <f>IF(C241=0,"",(D241-C241)/C241)</f>
      </c>
    </row>
    <row r="242" spans="1:5" s="3" customFormat="1" x14ac:dyDescent="0.25">
      <c r="A242" s="3">
        <v>29627</v>
      </c>
      <c r="B242" s="3" t="s">
        <v>143</v>
      </c>
      <c r="C242" s="11">
        <v>23028</v>
      </c>
      <c r="D242" s="11">
        <v>43579</v>
      </c>
      <c r="E242" s="12">
        <f>IF(C242=0,"",(D242-C242)/C242)</f>
      </c>
    </row>
    <row r="243" spans="1:5" s="3" customFormat="1" x14ac:dyDescent="0.25">
      <c r="A243" s="3">
        <v>29632</v>
      </c>
      <c r="B243" s="3" t="s">
        <v>111</v>
      </c>
      <c r="C243" s="11">
        <v>655774</v>
      </c>
      <c r="D243" s="11">
        <v>882134</v>
      </c>
      <c r="E243" s="12">
        <f>IF(C243=0,"",(D243-C243)/C243)</f>
      </c>
    </row>
    <row r="244" spans="1:5" s="3" customFormat="1" x14ac:dyDescent="0.25">
      <c r="A244" s="3">
        <v>29636</v>
      </c>
      <c r="B244" s="3" t="s">
        <v>597</v>
      </c>
      <c r="C244" s="11">
        <v>160366</v>
      </c>
      <c r="D244" s="11">
        <v>186788</v>
      </c>
      <c r="E244" s="12">
        <f>IF(C244=0,"",(D244-C244)/C244)</f>
      </c>
    </row>
    <row r="245" spans="1:5" s="3" customFormat="1" x14ac:dyDescent="0.25">
      <c r="A245" s="3">
        <v>29637</v>
      </c>
      <c r="B245" s="3" t="s">
        <v>599</v>
      </c>
      <c r="C245" s="11">
        <v>315500</v>
      </c>
      <c r="D245" s="11">
        <v>402135</v>
      </c>
      <c r="E245" s="12">
        <f>IF(C245=0,"",(D245-C245)/C245)</f>
      </c>
    </row>
    <row r="246" spans="1:5" s="3" customFormat="1" x14ac:dyDescent="0.25">
      <c r="A246" s="3">
        <v>29645</v>
      </c>
      <c r="B246" s="3" t="s">
        <v>601</v>
      </c>
      <c r="C246" s="11">
        <v>194112</v>
      </c>
      <c r="D246" s="11">
        <v>226831</v>
      </c>
      <c r="E246" s="12">
        <f>IF(C246=0,"",(D246-C246)/C246)</f>
      </c>
    </row>
    <row r="247" spans="1:5" s="3" customFormat="1" x14ac:dyDescent="0.25">
      <c r="A247" s="3">
        <v>29657</v>
      </c>
      <c r="B247" s="3" t="s">
        <v>603</v>
      </c>
      <c r="C247" s="11">
        <v>908733</v>
      </c>
      <c r="D247" s="11">
        <v>1058168</v>
      </c>
      <c r="E247" s="12">
        <f>IF(C247=0,"",(D247-C247)/C247)</f>
      </c>
    </row>
    <row r="248" spans="1:5" s="3" customFormat="1" x14ac:dyDescent="0.25">
      <c r="A248" s="3">
        <v>29672</v>
      </c>
      <c r="B248" s="3" t="s">
        <v>145</v>
      </c>
      <c r="C248" s="11">
        <v>505529</v>
      </c>
      <c r="D248" s="11">
        <v>752491</v>
      </c>
      <c r="E248" s="12">
        <f>IF(C248=0,"",(D248-C248)/C248)</f>
      </c>
    </row>
    <row r="249" spans="1:5" s="3" customFormat="1" x14ac:dyDescent="0.25">
      <c r="A249" s="3">
        <v>29676</v>
      </c>
      <c r="B249" s="3" t="s">
        <v>113</v>
      </c>
      <c r="C249" s="11">
        <v>196989</v>
      </c>
      <c r="D249" s="11">
        <v>212977</v>
      </c>
      <c r="E249" s="12">
        <f>IF(C249=0,"",(D249-C249)/C249)</f>
      </c>
    </row>
    <row r="250" spans="1:5" s="3" customFormat="1" x14ac:dyDescent="0.25">
      <c r="A250" s="3">
        <v>29677</v>
      </c>
      <c r="B250" s="3" t="s">
        <v>606</v>
      </c>
      <c r="C250" s="11">
        <v>86053</v>
      </c>
      <c r="D250" s="11">
        <v>108888</v>
      </c>
      <c r="E250" s="12">
        <f>IF(C250=0,"",(D250-C250)/C250)</f>
      </c>
    </row>
    <row r="251" spans="1:5" s="3" customFormat="1" x14ac:dyDescent="0.25">
      <c r="A251" s="3">
        <v>29683</v>
      </c>
      <c r="B251" s="3" t="s">
        <v>608</v>
      </c>
      <c r="C251" s="11">
        <v>2541489</v>
      </c>
      <c r="D251" s="11">
        <v>2730496</v>
      </c>
      <c r="E251" s="12">
        <f>IF(C251=0,"",(D251-C251)/C251)</f>
      </c>
    </row>
    <row r="252" spans="1:5" s="3" customFormat="1" x14ac:dyDescent="0.25">
      <c r="A252" s="3">
        <v>29685</v>
      </c>
      <c r="B252" s="3" t="s">
        <v>610</v>
      </c>
      <c r="C252" s="11">
        <v>38898</v>
      </c>
      <c r="D252" s="11">
        <v>32446</v>
      </c>
      <c r="E252" s="12">
        <f>IF(C252=0,"",(D252-C252)/C252)</f>
      </c>
    </row>
    <row r="253" spans="1:5" s="3" customFormat="1" x14ac:dyDescent="0.25">
      <c r="A253" s="3">
        <v>29691</v>
      </c>
      <c r="B253" s="3" t="s">
        <v>613</v>
      </c>
      <c r="C253" s="11">
        <v>86387</v>
      </c>
      <c r="D253" s="11">
        <v>127080</v>
      </c>
      <c r="E253" s="12">
        <f>IF(C253=0,"",(D253-C253)/C253)</f>
      </c>
    </row>
    <row r="254" spans="1:5" s="3" customFormat="1" x14ac:dyDescent="0.25">
      <c r="A254" s="3">
        <v>29692</v>
      </c>
      <c r="B254" s="3" t="s">
        <v>615</v>
      </c>
      <c r="C254" s="11">
        <v>308536</v>
      </c>
      <c r="D254" s="11">
        <v>384458</v>
      </c>
      <c r="E254" s="12">
        <f>IF(C254=0,"",(D254-C254)/C254)</f>
      </c>
    </row>
    <row r="255" spans="1:5" s="3" customFormat="1" x14ac:dyDescent="0.25">
      <c r="A255" s="3">
        <v>29710</v>
      </c>
      <c r="B255" s="3" t="s">
        <v>617</v>
      </c>
      <c r="C255" s="11">
        <v>75295</v>
      </c>
      <c r="D255" s="11">
        <v>92818</v>
      </c>
      <c r="E255" s="12">
        <f>IF(C255=0,"",(D255-C255)/C255)</f>
      </c>
    </row>
    <row r="256" spans="1:5" s="3" customFormat="1" x14ac:dyDescent="0.25">
      <c r="A256" s="3">
        <v>29743</v>
      </c>
      <c r="B256" s="3" t="s">
        <v>619</v>
      </c>
      <c r="C256" s="11">
        <v>161670</v>
      </c>
      <c r="D256" s="11">
        <v>204279</v>
      </c>
      <c r="E256" s="12">
        <f>IF(C256=0,"",(D256-C256)/C256)</f>
      </c>
    </row>
    <row r="257" spans="1:5" s="3" customFormat="1" x14ac:dyDescent="0.25">
      <c r="A257" s="3">
        <v>29745</v>
      </c>
      <c r="B257" s="3" t="s">
        <v>621</v>
      </c>
      <c r="C257" s="11">
        <v>236600</v>
      </c>
      <c r="D257" s="11">
        <v>248552</v>
      </c>
      <c r="E257" s="12">
        <f>IF(C257=0,"",(D257-C257)/C257)</f>
      </c>
    </row>
    <row r="258" spans="1:5" s="3" customFormat="1" x14ac:dyDescent="0.25">
      <c r="A258" s="3">
        <v>29749</v>
      </c>
      <c r="B258" s="3" t="s">
        <v>623</v>
      </c>
      <c r="C258" s="11">
        <v>172163</v>
      </c>
      <c r="D258" s="11">
        <v>205627</v>
      </c>
      <c r="E258" s="12">
        <f>IF(C258=0,"",(D258-C258)/C258)</f>
      </c>
    </row>
    <row r="259" spans="1:5" s="3" customFormat="1" x14ac:dyDescent="0.25">
      <c r="A259" s="3">
        <v>29772</v>
      </c>
      <c r="B259" s="3" t="s">
        <v>625</v>
      </c>
      <c r="C259" s="11">
        <v>205795</v>
      </c>
      <c r="D259" s="11">
        <v>213615</v>
      </c>
      <c r="E259" s="12">
        <f>IF(C259=0,"",(D259-C259)/C259)</f>
      </c>
    </row>
    <row r="260" spans="1:5" s="3" customFormat="1" x14ac:dyDescent="0.25">
      <c r="A260" s="3">
        <v>29774</v>
      </c>
      <c r="B260" s="3" t="s">
        <v>627</v>
      </c>
      <c r="C260" s="11">
        <v>34703</v>
      </c>
      <c r="D260" s="11">
        <v>42592</v>
      </c>
      <c r="E260" s="12">
        <f>IF(C260=0,"",(D260-C260)/C260)</f>
      </c>
    </row>
    <row r="261" spans="1:5" s="3" customFormat="1" x14ac:dyDescent="0.25">
      <c r="A261" s="3">
        <v>29800</v>
      </c>
      <c r="B261" s="3" t="s">
        <v>629</v>
      </c>
      <c r="C261" s="11">
        <v>580200</v>
      </c>
      <c r="D261" s="11">
        <v>551827</v>
      </c>
      <c r="E261" s="12">
        <f>IF(C261=0,"",(D261-C261)/C261)</f>
      </c>
    </row>
    <row r="262" spans="1:5" s="3" customFormat="1" x14ac:dyDescent="0.25">
      <c r="A262" s="3">
        <v>29809</v>
      </c>
      <c r="B262" s="3" t="s">
        <v>631</v>
      </c>
      <c r="C262" s="11">
        <v>812420</v>
      </c>
      <c r="D262" s="11">
        <v>796847</v>
      </c>
      <c r="E262" s="12">
        <f>IF(C262=0,"",(D262-C262)/C262)</f>
      </c>
    </row>
    <row r="263" spans="1:5" s="3" customFormat="1" x14ac:dyDescent="0.25">
      <c r="A263" s="3">
        <v>29813</v>
      </c>
      <c r="B263" s="3" t="s">
        <v>633</v>
      </c>
      <c r="C263" s="11">
        <v>151706</v>
      </c>
      <c r="D263" s="11">
        <v>160648</v>
      </c>
      <c r="E263" s="12">
        <f>IF(C263=0,"",(D263-C263)/C263)</f>
      </c>
    </row>
    <row r="264" spans="1:5" s="3" customFormat="1" x14ac:dyDescent="0.25">
      <c r="A264" s="3">
        <v>29835</v>
      </c>
      <c r="B264" s="3" t="s">
        <v>635</v>
      </c>
      <c r="C264" s="11">
        <v>438696</v>
      </c>
      <c r="D264" s="11">
        <v>545467</v>
      </c>
      <c r="E264" s="12">
        <f>IF(C264=0,"",(D264-C264)/C264)</f>
      </c>
    </row>
    <row r="265" spans="1:5" s="3" customFormat="1" x14ac:dyDescent="0.25">
      <c r="A265" s="3">
        <v>29838</v>
      </c>
      <c r="B265" s="3" t="s">
        <v>637</v>
      </c>
      <c r="C265" s="11">
        <v>467865</v>
      </c>
      <c r="D265" s="11">
        <v>567257</v>
      </c>
      <c r="E265" s="12">
        <f>IF(C265=0,"",(D265-C265)/C265)</f>
      </c>
    </row>
    <row r="266" spans="1:5" s="3" customFormat="1" x14ac:dyDescent="0.25">
      <c r="A266" s="3">
        <v>29842</v>
      </c>
      <c r="B266" s="3" t="s">
        <v>639</v>
      </c>
      <c r="C266" s="11">
        <v>207975</v>
      </c>
      <c r="D266" s="11">
        <v>209384</v>
      </c>
      <c r="E266" s="12">
        <f>IF(C266=0,"",(D266-C266)/C266)</f>
      </c>
    </row>
    <row r="267" spans="1:5" s="3" customFormat="1" x14ac:dyDescent="0.25">
      <c r="A267" s="3">
        <v>29846</v>
      </c>
      <c r="B267" s="3" t="s">
        <v>641</v>
      </c>
      <c r="C267" s="11">
        <v>426419</v>
      </c>
      <c r="D267" s="11">
        <v>534152</v>
      </c>
      <c r="E267" s="12">
        <f>IF(C267=0,"",(D267-C267)/C267)</f>
      </c>
    </row>
    <row r="268" spans="1:5" s="3" customFormat="1" x14ac:dyDescent="0.25">
      <c r="A268" s="3">
        <v>29857</v>
      </c>
      <c r="B268" s="3" t="s">
        <v>643</v>
      </c>
      <c r="C268" s="11">
        <v>30770</v>
      </c>
      <c r="D268" s="11">
        <v>28332</v>
      </c>
      <c r="E268" s="12">
        <f>IF(C268=0,"",(D268-C268)/C268)</f>
      </c>
    </row>
    <row r="269" spans="1:5" s="3" customFormat="1" x14ac:dyDescent="0.25">
      <c r="A269" s="3">
        <v>29874</v>
      </c>
      <c r="B269" s="3" t="s">
        <v>645</v>
      </c>
      <c r="C269" s="11">
        <v>269776</v>
      </c>
      <c r="D269" s="11">
        <v>298604</v>
      </c>
      <c r="E269" s="12">
        <f>IF(C269=0,"",(D269-C269)/C269)</f>
      </c>
    </row>
    <row r="270" spans="1:5" s="3" customFormat="1" x14ac:dyDescent="0.25">
      <c r="A270" s="3">
        <v>29881</v>
      </c>
      <c r="B270" s="3" t="s">
        <v>647</v>
      </c>
      <c r="C270" s="11">
        <v>368772</v>
      </c>
      <c r="D270" s="11">
        <v>431685</v>
      </c>
      <c r="E270" s="12">
        <f>IF(C270=0,"",(D270-C270)/C270)</f>
      </c>
    </row>
    <row r="271" spans="1:5" s="3" customFormat="1" x14ac:dyDescent="0.25">
      <c r="A271" s="3">
        <v>29904</v>
      </c>
      <c r="B271" s="3" t="s">
        <v>649</v>
      </c>
      <c r="C271" s="11">
        <v>309592</v>
      </c>
      <c r="D271" s="11">
        <v>324184</v>
      </c>
      <c r="E271" s="12">
        <f>IF(C271=0,"",(D271-C271)/C271)</f>
      </c>
    </row>
    <row r="272" spans="1:5" s="3" customFormat="1" x14ac:dyDescent="0.25">
      <c r="A272" s="3">
        <v>29910</v>
      </c>
      <c r="B272" s="3" t="s">
        <v>651</v>
      </c>
      <c r="C272" s="11">
        <v>78185</v>
      </c>
      <c r="D272" s="11">
        <v>77910</v>
      </c>
      <c r="E272" s="12">
        <f>IF(C272=0,"",(D272-C272)/C272)</f>
      </c>
    </row>
    <row r="273" spans="1:5" s="3" customFormat="1" x14ac:dyDescent="0.25">
      <c r="A273" s="3">
        <v>29933</v>
      </c>
      <c r="B273" s="3" t="s">
        <v>653</v>
      </c>
      <c r="C273" s="11">
        <v>180918</v>
      </c>
      <c r="D273" s="11">
        <v>261643</v>
      </c>
      <c r="E273" s="12">
        <f>IF(C273=0,"",(D273-C273)/C273)</f>
      </c>
    </row>
    <row r="274" spans="1:5" s="3" customFormat="1" x14ac:dyDescent="0.25">
      <c r="A274" s="3">
        <v>29937</v>
      </c>
      <c r="B274" s="3" t="s">
        <v>655</v>
      </c>
      <c r="C274" s="11">
        <v>243661</v>
      </c>
      <c r="D274" s="11">
        <v>287849</v>
      </c>
      <c r="E274" s="12">
        <f>IF(C274=0,"",(D274-C274)/C274)</f>
      </c>
    </row>
    <row r="275" spans="1:5" s="3" customFormat="1" x14ac:dyDescent="0.25">
      <c r="A275" s="3">
        <v>29941</v>
      </c>
      <c r="B275" s="3" t="s">
        <v>657</v>
      </c>
      <c r="C275" s="11">
        <v>951277</v>
      </c>
      <c r="D275" s="11">
        <v>875154</v>
      </c>
      <c r="E275" s="12">
        <f>IF(C275=0,"",(D275-C275)/C275)</f>
      </c>
    </row>
    <row r="276" spans="1:5" s="3" customFormat="1" x14ac:dyDescent="0.25">
      <c r="A276" s="3">
        <v>29966</v>
      </c>
      <c r="B276" s="3" t="s">
        <v>659</v>
      </c>
      <c r="C276" s="11">
        <v>11213</v>
      </c>
      <c r="D276" s="11">
        <v>8746</v>
      </c>
      <c r="E276" s="12">
        <f>IF(C276=0,"",(D276-C276)/C276)</f>
      </c>
    </row>
    <row r="277" spans="1:5" s="3" customFormat="1" x14ac:dyDescent="0.25">
      <c r="A277" s="3">
        <v>29975</v>
      </c>
      <c r="B277" s="3" t="s">
        <v>661</v>
      </c>
      <c r="C277" s="11">
        <v>147491</v>
      </c>
      <c r="D277" s="11">
        <v>185360</v>
      </c>
      <c r="E277" s="12">
        <f>IF(C277=0,"",(D277-C277)/C277)</f>
      </c>
    </row>
    <row r="278" spans="1:5" s="3" customFormat="1" x14ac:dyDescent="0.25">
      <c r="A278" s="3">
        <v>29988</v>
      </c>
      <c r="B278" s="3" t="s">
        <v>663</v>
      </c>
      <c r="C278" s="11">
        <v>327504</v>
      </c>
      <c r="D278" s="11">
        <v>396924</v>
      </c>
      <c r="E278" s="12">
        <f>IF(C278=0,"",(D278-C278)/C278)</f>
      </c>
    </row>
    <row r="279" spans="1:5" s="3" customFormat="1" x14ac:dyDescent="0.25">
      <c r="A279" s="3">
        <v>29995</v>
      </c>
      <c r="B279" s="3" t="s">
        <v>665</v>
      </c>
      <c r="C279" s="11">
        <v>602280</v>
      </c>
      <c r="D279" s="11">
        <v>654399</v>
      </c>
      <c r="E279" s="12">
        <f>IF(C279=0,"",(D279-C279)/C279)</f>
      </c>
    </row>
    <row r="280" spans="1:5" s="3" customFormat="1" x14ac:dyDescent="0.25">
      <c r="A280" s="3">
        <v>30012</v>
      </c>
      <c r="B280" s="3" t="s">
        <v>667</v>
      </c>
      <c r="C280" s="11">
        <v>14549040</v>
      </c>
      <c r="D280" s="11">
        <v>17468430</v>
      </c>
      <c r="E280" s="12">
        <f>IF(C280=0,"",(D280-C280)/C280)</f>
      </c>
    </row>
    <row r="281" spans="1:5" s="3" customFormat="1" x14ac:dyDescent="0.25">
      <c r="A281" s="3">
        <v>30031</v>
      </c>
      <c r="B281" s="3" t="s">
        <v>916</v>
      </c>
      <c r="C281" s="11">
        <v>15823</v>
      </c>
      <c r="D281" s="11">
        <v>17640</v>
      </c>
      <c r="E281" s="12">
        <f>IF(C281=0,"",(D281-C281)/C281)</f>
      </c>
    </row>
    <row r="282" spans="1:5" s="3" customFormat="1" x14ac:dyDescent="0.25">
      <c r="A282" s="3">
        <v>30039</v>
      </c>
      <c r="B282" s="3" t="s">
        <v>669</v>
      </c>
      <c r="C282" s="11">
        <v>1092301</v>
      </c>
      <c r="D282" s="11">
        <v>1015565</v>
      </c>
      <c r="E282" s="12">
        <f>IF(C282=0,"",(D282-C282)/C282)</f>
      </c>
    </row>
    <row r="283" spans="1:5" s="3" customFormat="1" x14ac:dyDescent="0.25">
      <c r="A283" s="3">
        <v>30043</v>
      </c>
      <c r="B283" s="3" t="s">
        <v>671</v>
      </c>
      <c r="C283" s="11">
        <v>63851</v>
      </c>
      <c r="D283" s="11">
        <v>78898</v>
      </c>
      <c r="E283" s="12">
        <f>IF(C283=0,"",(D283-C283)/C283)</f>
      </c>
    </row>
    <row r="284" spans="1:5" s="3" customFormat="1" x14ac:dyDescent="0.25">
      <c r="A284" s="3">
        <v>30058</v>
      </c>
      <c r="B284" s="3" t="s">
        <v>673</v>
      </c>
      <c r="C284" s="11">
        <v>161140</v>
      </c>
      <c r="D284" s="11">
        <v>146054</v>
      </c>
      <c r="E284" s="12">
        <f>IF(C284=0,"",(D284-C284)/C284)</f>
      </c>
    </row>
    <row r="285" spans="1:5" s="3" customFormat="1" x14ac:dyDescent="0.25">
      <c r="A285" s="3">
        <v>30065</v>
      </c>
      <c r="B285" s="3" t="s">
        <v>675</v>
      </c>
      <c r="C285" s="11">
        <v>34385</v>
      </c>
      <c r="D285" s="11">
        <v>42840</v>
      </c>
      <c r="E285" s="12">
        <f>IF(C285=0,"",(D285-C285)/C285)</f>
      </c>
    </row>
    <row r="286" spans="1:5" s="3" customFormat="1" x14ac:dyDescent="0.25">
      <c r="A286" s="3">
        <v>30072</v>
      </c>
      <c r="B286" s="3" t="s">
        <v>677</v>
      </c>
      <c r="C286" s="11">
        <v>128944</v>
      </c>
      <c r="D286" s="11">
        <v>149725</v>
      </c>
      <c r="E286" s="12">
        <f>IF(C286=0,"",(D286-C286)/C286)</f>
      </c>
    </row>
    <row r="287" spans="1:5" s="3" customFormat="1" x14ac:dyDescent="0.25">
      <c r="A287" s="3">
        <v>30076</v>
      </c>
      <c r="B287" s="3" t="s">
        <v>679</v>
      </c>
      <c r="C287" s="11">
        <v>3784556</v>
      </c>
      <c r="D287" s="11">
        <v>4025456</v>
      </c>
      <c r="E287" s="12">
        <f>IF(C287=0,"",(D287-C287)/C287)</f>
      </c>
    </row>
    <row r="288" spans="1:5" s="3" customFormat="1" x14ac:dyDescent="0.25">
      <c r="A288" s="3">
        <v>30084</v>
      </c>
      <c r="B288" s="3" t="s">
        <v>681</v>
      </c>
      <c r="C288" s="11">
        <v>146987</v>
      </c>
      <c r="D288" s="11">
        <v>174186</v>
      </c>
      <c r="E288" s="12">
        <f>IF(C288=0,"",(D288-C288)/C288)</f>
      </c>
    </row>
    <row r="289" spans="1:5" s="3" customFormat="1" x14ac:dyDescent="0.25">
      <c r="A289" s="3">
        <v>30103</v>
      </c>
      <c r="B289" s="3" t="s">
        <v>683</v>
      </c>
      <c r="C289" s="11">
        <v>101588</v>
      </c>
      <c r="D289" s="11">
        <v>113193</v>
      </c>
      <c r="E289" s="12">
        <f>IF(C289=0,"",(D289-C289)/C289)</f>
      </c>
    </row>
    <row r="290" spans="1:5" s="3" customFormat="1" x14ac:dyDescent="0.25">
      <c r="A290" s="3">
        <v>30111</v>
      </c>
      <c r="B290" s="3" t="s">
        <v>685</v>
      </c>
      <c r="C290" s="11">
        <v>526324</v>
      </c>
      <c r="D290" s="11">
        <v>664716</v>
      </c>
      <c r="E290" s="12">
        <f>IF(C290=0,"",(D290-C290)/C290)</f>
      </c>
    </row>
    <row r="291" spans="1:5" s="3" customFormat="1" x14ac:dyDescent="0.25">
      <c r="A291" s="3">
        <v>30117</v>
      </c>
      <c r="B291" s="3" t="s">
        <v>687</v>
      </c>
      <c r="C291" s="11">
        <v>621206</v>
      </c>
      <c r="D291" s="11">
        <v>663076</v>
      </c>
      <c r="E291" s="12">
        <f>IF(C291=0,"",(D291-C291)/C291)</f>
      </c>
    </row>
    <row r="292" spans="1:5" s="3" customFormat="1" x14ac:dyDescent="0.25">
      <c r="A292" s="3">
        <v>30119</v>
      </c>
      <c r="B292" s="3" t="s">
        <v>689</v>
      </c>
      <c r="C292" s="11">
        <v>221830</v>
      </c>
      <c r="D292" s="11">
        <v>242902</v>
      </c>
      <c r="E292" s="12">
        <f>IF(C292=0,"",(D292-C292)/C292)</f>
      </c>
    </row>
    <row r="293" spans="1:5" s="3" customFormat="1" x14ac:dyDescent="0.25">
      <c r="A293" s="3">
        <v>30121</v>
      </c>
      <c r="B293" s="3" t="s">
        <v>691</v>
      </c>
      <c r="C293" s="11">
        <v>107687</v>
      </c>
      <c r="D293" s="11">
        <v>105992</v>
      </c>
      <c r="E293" s="12">
        <f>IF(C293=0,"",(D293-C293)/C293)</f>
      </c>
    </row>
    <row r="294" spans="1:5" s="3" customFormat="1" x14ac:dyDescent="0.25">
      <c r="A294" s="3">
        <v>30128</v>
      </c>
      <c r="B294" s="3" t="s">
        <v>693</v>
      </c>
      <c r="C294" s="11">
        <v>62631</v>
      </c>
      <c r="D294" s="11">
        <v>69483</v>
      </c>
      <c r="E294" s="12">
        <f>IF(C294=0,"",(D294-C294)/C294)</f>
      </c>
    </row>
    <row r="295" spans="1:5" s="3" customFormat="1" x14ac:dyDescent="0.25">
      <c r="A295" s="3">
        <v>30150</v>
      </c>
      <c r="B295" s="3" t="s">
        <v>695</v>
      </c>
      <c r="C295" s="11">
        <v>185784</v>
      </c>
      <c r="D295" s="11">
        <v>188470</v>
      </c>
      <c r="E295" s="12">
        <f>IF(C295=0,"",(D295-C295)/C295)</f>
      </c>
    </row>
    <row r="296" spans="1:5" s="3" customFormat="1" x14ac:dyDescent="0.25">
      <c r="A296" s="3">
        <v>30152</v>
      </c>
      <c r="B296" s="3" t="s">
        <v>917</v>
      </c>
      <c r="C296" s="11">
        <v>30012</v>
      </c>
      <c r="D296" s="11">
        <v>27361</v>
      </c>
      <c r="E296" s="12">
        <f>IF(C296=0,"",(D296-C296)/C296)</f>
      </c>
    </row>
    <row r="297" spans="1:5" s="3" customFormat="1" x14ac:dyDescent="0.25">
      <c r="A297" s="3">
        <v>30154</v>
      </c>
      <c r="B297" s="3" t="s">
        <v>697</v>
      </c>
      <c r="C297" s="11">
        <v>285811</v>
      </c>
      <c r="D297" s="11">
        <v>319972</v>
      </c>
      <c r="E297" s="12">
        <f>IF(C297=0,"",(D297-C297)/C297)</f>
      </c>
    </row>
    <row r="298" spans="1:5" s="3" customFormat="1" x14ac:dyDescent="0.25">
      <c r="A298" s="3">
        <v>30155</v>
      </c>
      <c r="B298" s="3" t="s">
        <v>699</v>
      </c>
      <c r="C298" s="11">
        <v>562330</v>
      </c>
      <c r="D298" s="11">
        <v>590545</v>
      </c>
      <c r="E298" s="12">
        <f>IF(C298=0,"",(D298-C298)/C298)</f>
      </c>
    </row>
    <row r="299" spans="1:5" s="3" customFormat="1" x14ac:dyDescent="0.25">
      <c r="A299" s="3">
        <v>30176</v>
      </c>
      <c r="B299" s="3" t="s">
        <v>701</v>
      </c>
      <c r="C299" s="11">
        <v>39360</v>
      </c>
      <c r="D299" s="11">
        <v>43355</v>
      </c>
      <c r="E299" s="12">
        <f>IF(C299=0,"",(D299-C299)/C299)</f>
      </c>
    </row>
    <row r="300" spans="1:5" s="3" customFormat="1" x14ac:dyDescent="0.25">
      <c r="A300" s="3">
        <v>30183</v>
      </c>
      <c r="B300" s="3" t="s">
        <v>703</v>
      </c>
      <c r="C300" s="11">
        <v>159056</v>
      </c>
      <c r="D300" s="11">
        <v>168009</v>
      </c>
      <c r="E300" s="12">
        <f>IF(C300=0,"",(D300-C300)/C300)</f>
      </c>
    </row>
    <row r="301" spans="1:5" s="3" customFormat="1" x14ac:dyDescent="0.25">
      <c r="A301" s="3">
        <v>30260</v>
      </c>
      <c r="B301" s="3" t="s">
        <v>705</v>
      </c>
      <c r="C301" s="11">
        <v>539043</v>
      </c>
      <c r="D301" s="11">
        <v>538165</v>
      </c>
      <c r="E301" s="12">
        <f>IF(C301=0,"",(D301-C301)/C301)</f>
      </c>
    </row>
    <row r="302" spans="1:5" s="3" customFormat="1" x14ac:dyDescent="0.25">
      <c r="A302" s="3">
        <v>30270</v>
      </c>
      <c r="B302" s="3" t="s">
        <v>707</v>
      </c>
      <c r="C302" s="11">
        <v>278738</v>
      </c>
      <c r="D302" s="11">
        <v>326363</v>
      </c>
      <c r="E302" s="12">
        <f>IF(C302=0,"",(D302-C302)/C302)</f>
      </c>
    </row>
    <row r="303" spans="1:5" s="3" customFormat="1" x14ac:dyDescent="0.25">
      <c r="A303" s="3">
        <v>30303</v>
      </c>
      <c r="B303" s="3" t="s">
        <v>709</v>
      </c>
      <c r="C303" s="11">
        <v>2051715</v>
      </c>
      <c r="D303" s="11">
        <v>2227906</v>
      </c>
      <c r="E303" s="12">
        <f>IF(C303=0,"",(D303-C303)/C303)</f>
      </c>
    </row>
    <row r="304" spans="1:5" s="3" customFormat="1" x14ac:dyDescent="0.25">
      <c r="A304" s="3">
        <v>30313</v>
      </c>
      <c r="B304" s="3" t="s">
        <v>711</v>
      </c>
      <c r="C304" s="11">
        <v>271685</v>
      </c>
      <c r="D304" s="11">
        <v>262951</v>
      </c>
      <c r="E304" s="12">
        <f>IF(C304=0,"",(D304-C304)/C304)</f>
      </c>
    </row>
    <row r="305" spans="1:5" s="3" customFormat="1" x14ac:dyDescent="0.25">
      <c r="A305" s="3">
        <v>30315</v>
      </c>
      <c r="B305" s="3" t="s">
        <v>713</v>
      </c>
      <c r="C305" s="11">
        <v>426587</v>
      </c>
      <c r="D305" s="11">
        <v>478394</v>
      </c>
      <c r="E305" s="12">
        <f>IF(C305=0,"",(D305-C305)/C305)</f>
      </c>
    </row>
    <row r="306" spans="1:5" s="3" customFormat="1" x14ac:dyDescent="0.25">
      <c r="A306" s="3">
        <v>30332</v>
      </c>
      <c r="B306" s="3" t="s">
        <v>715</v>
      </c>
      <c r="C306" s="11">
        <v>58961</v>
      </c>
      <c r="D306" s="11">
        <v>66243</v>
      </c>
      <c r="E306" s="12">
        <f>IF(C306=0,"",(D306-C306)/C306)</f>
      </c>
    </row>
    <row r="307" spans="1:5" s="3" customFormat="1" x14ac:dyDescent="0.25">
      <c r="A307" s="3">
        <v>30350</v>
      </c>
      <c r="B307" s="3" t="s">
        <v>717</v>
      </c>
      <c r="C307" s="11">
        <v>494946</v>
      </c>
      <c r="D307" s="11">
        <v>650111</v>
      </c>
      <c r="E307" s="12">
        <f>IF(C307=0,"",(D307-C307)/C307)</f>
      </c>
    </row>
    <row r="308" spans="1:5" s="3" customFormat="1" x14ac:dyDescent="0.25">
      <c r="A308" s="3">
        <v>30357</v>
      </c>
      <c r="B308" s="3" t="s">
        <v>719</v>
      </c>
      <c r="C308" s="11">
        <v>166716</v>
      </c>
      <c r="D308" s="11">
        <v>136999</v>
      </c>
      <c r="E308" s="12">
        <f>IF(C308=0,"",(D308-C308)/C308)</f>
      </c>
    </row>
    <row r="309" spans="1:5" s="3" customFormat="1" x14ac:dyDescent="0.25">
      <c r="A309" s="3">
        <v>30358</v>
      </c>
      <c r="B309" s="3" t="s">
        <v>721</v>
      </c>
      <c r="C309" s="11">
        <v>58184</v>
      </c>
      <c r="D309" s="11">
        <v>55588</v>
      </c>
      <c r="E309" s="12">
        <f>IF(C309=0,"",(D309-C309)/C309)</f>
      </c>
    </row>
    <row r="310" spans="1:5" s="3" customFormat="1" x14ac:dyDescent="0.25">
      <c r="A310" s="3">
        <v>30367</v>
      </c>
      <c r="B310" s="3" t="s">
        <v>723</v>
      </c>
      <c r="C310" s="11">
        <v>331161</v>
      </c>
      <c r="D310" s="11">
        <v>302255</v>
      </c>
      <c r="E310" s="12">
        <f>IF(C310=0,"",(D310-C310)/C310)</f>
      </c>
    </row>
    <row r="311" spans="1:5" s="3" customFormat="1" x14ac:dyDescent="0.25">
      <c r="A311" s="3">
        <v>30388</v>
      </c>
      <c r="B311" s="3" t="s">
        <v>725</v>
      </c>
      <c r="C311" s="11">
        <v>108280</v>
      </c>
      <c r="D311" s="11">
        <v>102789</v>
      </c>
      <c r="E311" s="12">
        <f>IF(C311=0,"",(D311-C311)/C311)</f>
      </c>
    </row>
    <row r="312" spans="1:5" s="3" customFormat="1" x14ac:dyDescent="0.25">
      <c r="A312" s="3">
        <v>30395</v>
      </c>
      <c r="B312" s="3" t="s">
        <v>727</v>
      </c>
      <c r="C312" s="11">
        <v>48746</v>
      </c>
      <c r="D312" s="11">
        <v>53441</v>
      </c>
      <c r="E312" s="12">
        <f>IF(C312=0,"",(D312-C312)/C312)</f>
      </c>
    </row>
    <row r="313" spans="1:5" s="3" customFormat="1" x14ac:dyDescent="0.25">
      <c r="A313" s="3">
        <v>30397</v>
      </c>
      <c r="B313" s="3" t="s">
        <v>729</v>
      </c>
      <c r="C313" s="11">
        <v>587587</v>
      </c>
      <c r="D313" s="11">
        <v>669477</v>
      </c>
      <c r="E313" s="12">
        <f>IF(C313=0,"",(D313-C313)/C313)</f>
      </c>
    </row>
    <row r="314" spans="1:5" s="3" customFormat="1" x14ac:dyDescent="0.25">
      <c r="A314" s="3">
        <v>30401</v>
      </c>
      <c r="B314" s="3" t="s">
        <v>731</v>
      </c>
      <c r="C314" s="11">
        <v>2660709</v>
      </c>
      <c r="D314" s="11">
        <v>3019439</v>
      </c>
      <c r="E314" s="12">
        <f>IF(C314=0,"",(D314-C314)/C314)</f>
      </c>
    </row>
    <row r="315" spans="1:5" s="3" customFormat="1" x14ac:dyDescent="0.25">
      <c r="A315" s="3">
        <v>30402</v>
      </c>
      <c r="B315" s="3" t="s">
        <v>733</v>
      </c>
      <c r="C315" s="11">
        <v>332383</v>
      </c>
      <c r="D315" s="11">
        <v>337448</v>
      </c>
      <c r="E315" s="12">
        <f>IF(C315=0,"",(D315-C315)/C315)</f>
      </c>
    </row>
    <row r="316" spans="1:5" s="3" customFormat="1" x14ac:dyDescent="0.25">
      <c r="A316" s="3">
        <v>30428</v>
      </c>
      <c r="B316" s="3" t="s">
        <v>735</v>
      </c>
      <c r="C316" s="11">
        <v>627019</v>
      </c>
      <c r="D316" s="11">
        <v>640681</v>
      </c>
      <c r="E316" s="12">
        <f>IF(C316=0,"",(D316-C316)/C316)</f>
      </c>
    </row>
    <row r="317" spans="1:5" s="3" customFormat="1" x14ac:dyDescent="0.25">
      <c r="A317" s="3">
        <v>30429</v>
      </c>
      <c r="B317" s="3" t="s">
        <v>737</v>
      </c>
      <c r="C317" s="11">
        <v>178739</v>
      </c>
      <c r="D317" s="11">
        <v>200570</v>
      </c>
      <c r="E317" s="12">
        <f>IF(C317=0,"",(D317-C317)/C317)</f>
      </c>
    </row>
    <row r="318" spans="1:5" s="3" customFormat="1" x14ac:dyDescent="0.25">
      <c r="A318" s="3">
        <v>30431</v>
      </c>
      <c r="B318" s="3" t="s">
        <v>739</v>
      </c>
      <c r="C318" s="11">
        <v>251122</v>
      </c>
      <c r="D318" s="11">
        <v>434836</v>
      </c>
      <c r="E318" s="12">
        <f>IF(C318=0,"",(D318-C318)/C318)</f>
      </c>
    </row>
    <row r="319" spans="1:5" s="3" customFormat="1" x14ac:dyDescent="0.25">
      <c r="A319" s="3">
        <v>30434</v>
      </c>
      <c r="B319" s="3" t="s">
        <v>741</v>
      </c>
      <c r="C319" s="11">
        <v>121301</v>
      </c>
      <c r="D319" s="11">
        <v>109151</v>
      </c>
      <c r="E319" s="12">
        <f>IF(C319=0,"",(D319-C319)/C319)</f>
      </c>
    </row>
    <row r="320" spans="1:5" s="3" customFormat="1" x14ac:dyDescent="0.25">
      <c r="A320" s="3">
        <v>30441</v>
      </c>
      <c r="B320" s="3" t="s">
        <v>743</v>
      </c>
      <c r="C320" s="11">
        <v>1165864</v>
      </c>
      <c r="D320" s="11">
        <v>1175492</v>
      </c>
      <c r="E320" s="12">
        <f>IF(C320=0,"",(D320-C320)/C320)</f>
      </c>
    </row>
    <row r="321" spans="1:5" s="3" customFormat="1" x14ac:dyDescent="0.25">
      <c r="A321" s="3">
        <v>30447</v>
      </c>
      <c r="B321" s="3" t="s">
        <v>745</v>
      </c>
      <c r="C321" s="11">
        <v>57302</v>
      </c>
      <c r="D321" s="11">
        <v>51468</v>
      </c>
      <c r="E321" s="12">
        <f>IF(C321=0,"",(D321-C321)/C321)</f>
      </c>
    </row>
    <row r="322" spans="1:5" s="3" customFormat="1" x14ac:dyDescent="0.25">
      <c r="A322" s="3">
        <v>30470</v>
      </c>
      <c r="B322" s="3" t="s">
        <v>747</v>
      </c>
      <c r="C322" s="11">
        <v>2778051</v>
      </c>
      <c r="D322" s="11">
        <v>3459562</v>
      </c>
      <c r="E322" s="12">
        <f>IF(C322=0,"",(D322-C322)/C322)</f>
      </c>
    </row>
    <row r="323" spans="1:5" s="3" customFormat="1" x14ac:dyDescent="0.25">
      <c r="A323" s="3">
        <v>30516</v>
      </c>
      <c r="B323" s="3" t="s">
        <v>749</v>
      </c>
      <c r="C323" s="11">
        <v>199267</v>
      </c>
      <c r="D323" s="11">
        <v>215458</v>
      </c>
      <c r="E323" s="12">
        <f>IF(C323=0,"",(D323-C323)/C323)</f>
      </c>
    </row>
    <row r="324" spans="1:5" s="3" customFormat="1" x14ac:dyDescent="0.25">
      <c r="A324" s="3">
        <v>30530</v>
      </c>
      <c r="B324" s="3" t="s">
        <v>116</v>
      </c>
      <c r="C324" s="11">
        <v>686391</v>
      </c>
      <c r="D324" s="11">
        <v>721509</v>
      </c>
      <c r="E324" s="12">
        <f>IF(C324=0,"",(D324-C324)/C324)</f>
      </c>
    </row>
    <row r="325" spans="1:5" s="3" customFormat="1" x14ac:dyDescent="0.25">
      <c r="A325" s="3">
        <v>30544</v>
      </c>
      <c r="B325" s="3" t="s">
        <v>752</v>
      </c>
      <c r="C325" s="11">
        <v>1126810</v>
      </c>
      <c r="D325" s="11">
        <v>1410572</v>
      </c>
      <c r="E325" s="12">
        <f>IF(C325=0,"",(D325-C325)/C325)</f>
      </c>
    </row>
    <row r="326" spans="1:5" s="3" customFormat="1" x14ac:dyDescent="0.25">
      <c r="A326" s="3">
        <v>30551</v>
      </c>
      <c r="B326" s="3" t="s">
        <v>754</v>
      </c>
      <c r="C326" s="11">
        <v>171873</v>
      </c>
      <c r="D326" s="11">
        <v>168438</v>
      </c>
      <c r="E326" s="12">
        <f>IF(C326=0,"",(D326-C326)/C326)</f>
      </c>
    </row>
    <row r="327" spans="1:5" s="3" customFormat="1" x14ac:dyDescent="0.25">
      <c r="A327" s="3">
        <v>30585</v>
      </c>
      <c r="B327" s="3" t="s">
        <v>756</v>
      </c>
      <c r="C327" s="11">
        <v>74934</v>
      </c>
      <c r="D327" s="11">
        <v>77774</v>
      </c>
      <c r="E327" s="12">
        <f>IF(C327=0,"",(D327-C327)/C327)</f>
      </c>
    </row>
    <row r="328" spans="1:5" s="3" customFormat="1" x14ac:dyDescent="0.25">
      <c r="A328" s="3">
        <v>30619</v>
      </c>
      <c r="B328" s="3" t="s">
        <v>758</v>
      </c>
      <c r="C328" s="11">
        <v>117074</v>
      </c>
      <c r="D328" s="11">
        <v>137645</v>
      </c>
      <c r="E328" s="12">
        <f>IF(C328=0,"",(D328-C328)/C328)</f>
      </c>
    </row>
    <row r="329" spans="1:5" s="3" customFormat="1" x14ac:dyDescent="0.25">
      <c r="A329" s="3">
        <v>30637</v>
      </c>
      <c r="B329" s="3" t="s">
        <v>760</v>
      </c>
      <c r="C329" s="11">
        <v>317862</v>
      </c>
      <c r="D329" s="11">
        <v>342060</v>
      </c>
      <c r="E329" s="12">
        <f>IF(C329=0,"",(D329-C329)/C329)</f>
      </c>
    </row>
    <row r="330" spans="1:5" s="3" customFormat="1" x14ac:dyDescent="0.25">
      <c r="A330" s="3">
        <v>30656</v>
      </c>
      <c r="B330" s="3" t="s">
        <v>762</v>
      </c>
      <c r="C330" s="11">
        <v>65541</v>
      </c>
      <c r="D330" s="11">
        <v>63039</v>
      </c>
      <c r="E330" s="12">
        <f>IF(C330=0,"",(D330-C330)/C330)</f>
      </c>
    </row>
    <row r="331" spans="1:5" s="3" customFormat="1" x14ac:dyDescent="0.25">
      <c r="A331" s="3">
        <v>30680</v>
      </c>
      <c r="B331" s="3" t="s">
        <v>764</v>
      </c>
      <c r="C331" s="11">
        <v>327969</v>
      </c>
      <c r="D331" s="11">
        <v>361581</v>
      </c>
      <c r="E331" s="12">
        <f>IF(C331=0,"",(D331-C331)/C331)</f>
      </c>
    </row>
    <row r="332" spans="1:5" s="3" customFormat="1" x14ac:dyDescent="0.25">
      <c r="A332" s="3">
        <v>30688</v>
      </c>
      <c r="B332" s="3" t="s">
        <v>766</v>
      </c>
      <c r="C332" s="11">
        <v>87898</v>
      </c>
      <c r="D332" s="11">
        <v>101584</v>
      </c>
      <c r="E332" s="12">
        <f>IF(C332=0,"",(D332-C332)/C332)</f>
      </c>
    </row>
    <row r="333" spans="1:5" s="3" customFormat="1" x14ac:dyDescent="0.25">
      <c r="A333" s="3">
        <v>30812</v>
      </c>
      <c r="B333" s="3" t="s">
        <v>71</v>
      </c>
      <c r="C333" s="11">
        <v>332972</v>
      </c>
      <c r="D333" s="11">
        <v>377630</v>
      </c>
      <c r="E333" s="12">
        <f>IF(C333=0,"",(D333-C333)/C333)</f>
      </c>
    </row>
    <row r="334" spans="1:5" s="3" customFormat="1" x14ac:dyDescent="0.25">
      <c r="A334" s="3">
        <v>30819</v>
      </c>
      <c r="B334" s="3" t="s">
        <v>769</v>
      </c>
      <c r="C334" s="11">
        <v>238339</v>
      </c>
      <c r="D334" s="11">
        <v>293825</v>
      </c>
      <c r="E334" s="12">
        <f>IF(C334=0,"",(D334-C334)/C334)</f>
      </c>
    </row>
    <row r="335" spans="1:5" s="3" customFormat="1" x14ac:dyDescent="0.25">
      <c r="A335" s="3">
        <v>30878</v>
      </c>
      <c r="B335" s="3" t="s">
        <v>771</v>
      </c>
      <c r="C335" s="11">
        <v>101068</v>
      </c>
      <c r="D335" s="11">
        <v>101589</v>
      </c>
      <c r="E335" s="12">
        <f>IF(C335=0,"",(D335-C335)/C335)</f>
      </c>
    </row>
    <row r="336" spans="1:5" s="3" customFormat="1" x14ac:dyDescent="0.25">
      <c r="A336" s="3">
        <v>30889</v>
      </c>
      <c r="B336" s="3" t="s">
        <v>773</v>
      </c>
      <c r="C336" s="11">
        <v>93220</v>
      </c>
      <c r="D336" s="11">
        <v>110671</v>
      </c>
      <c r="E336" s="12">
        <f>IF(C336=0,"",(D336-C336)/C336)</f>
      </c>
    </row>
    <row r="337" spans="1:5" s="3" customFormat="1" x14ac:dyDescent="0.25">
      <c r="A337" s="3">
        <v>30969</v>
      </c>
      <c r="B337" s="3" t="s">
        <v>775</v>
      </c>
      <c r="C337" s="11">
        <v>167609</v>
      </c>
      <c r="D337" s="11">
        <v>202890</v>
      </c>
      <c r="E337" s="12">
        <f>IF(C337=0,"",(D337-C337)/C337)</f>
      </c>
    </row>
    <row r="338" spans="1:5" s="3" customFormat="1" x14ac:dyDescent="0.25">
      <c r="A338" s="3">
        <v>30976</v>
      </c>
      <c r="B338" s="3" t="s">
        <v>777</v>
      </c>
      <c r="C338" s="11">
        <v>204971</v>
      </c>
      <c r="D338" s="11">
        <v>198537</v>
      </c>
      <c r="E338" s="12">
        <f>IF(C338=0,"",(D338-C338)/C338)</f>
      </c>
    </row>
    <row r="339" spans="1:5" s="3" customFormat="1" x14ac:dyDescent="0.25">
      <c r="A339" s="3">
        <v>30987</v>
      </c>
      <c r="B339" s="3" t="s">
        <v>779</v>
      </c>
      <c r="C339" s="11">
        <v>153881</v>
      </c>
      <c r="D339" s="11">
        <v>150344</v>
      </c>
      <c r="E339" s="12">
        <f>IF(C339=0,"",(D339-C339)/C339)</f>
      </c>
    </row>
    <row r="340" spans="1:5" s="3" customFormat="1" x14ac:dyDescent="0.25">
      <c r="A340" s="3">
        <v>31083</v>
      </c>
      <c r="B340" s="3" t="s">
        <v>781</v>
      </c>
      <c r="C340" s="11">
        <v>127436</v>
      </c>
      <c r="D340" s="11">
        <v>165246</v>
      </c>
      <c r="E340" s="12">
        <f>IF(C340=0,"",(D340-C340)/C340)</f>
      </c>
    </row>
    <row r="341" spans="1:5" s="3" customFormat="1" x14ac:dyDescent="0.25">
      <c r="A341" s="3">
        <v>31090</v>
      </c>
      <c r="B341" s="3" t="s">
        <v>783</v>
      </c>
      <c r="C341" s="11">
        <v>35200</v>
      </c>
      <c r="D341" s="11">
        <v>57815</v>
      </c>
      <c r="E341" s="12">
        <f>IF(C341=0,"",(D341-C341)/C341)</f>
      </c>
    </row>
    <row r="342" spans="1:5" s="3" customFormat="1" x14ac:dyDescent="0.25">
      <c r="A342" s="3">
        <v>31184</v>
      </c>
      <c r="B342" s="3" t="s">
        <v>707</v>
      </c>
      <c r="C342" s="11">
        <v>364936</v>
      </c>
      <c r="D342" s="11">
        <v>358923</v>
      </c>
      <c r="E342" s="12">
        <f>IF(C342=0,"",(D342-C342)/C342)</f>
      </c>
    </row>
    <row r="343" spans="1:5" s="3" customFormat="1" x14ac:dyDescent="0.25">
      <c r="A343" s="3">
        <v>31197</v>
      </c>
      <c r="B343" s="3" t="s">
        <v>71</v>
      </c>
      <c r="C343" s="11">
        <v>90339</v>
      </c>
      <c r="D343" s="11">
        <v>87158</v>
      </c>
      <c r="E343" s="12">
        <f>IF(C343=0,"",(D343-C343)/C343)</f>
      </c>
    </row>
    <row r="344" spans="1:5" s="3" customFormat="1" x14ac:dyDescent="0.25">
      <c r="A344" s="3">
        <v>31198</v>
      </c>
      <c r="B344" s="3" t="s">
        <v>786</v>
      </c>
      <c r="C344" s="11">
        <v>156421</v>
      </c>
      <c r="D344" s="11">
        <v>205587</v>
      </c>
      <c r="E344" s="12">
        <f>IF(C344=0,"",(D344-C344)/C344)</f>
      </c>
    </row>
    <row r="345" spans="1:5" s="3" customFormat="1" x14ac:dyDescent="0.25">
      <c r="A345" s="3">
        <v>31217</v>
      </c>
      <c r="B345" s="3" t="s">
        <v>788</v>
      </c>
      <c r="C345" s="11">
        <v>420575</v>
      </c>
      <c r="D345" s="11">
        <v>502996</v>
      </c>
      <c r="E345" s="12">
        <f>IF(C345=0,"",(D345-C345)/C345)</f>
      </c>
    </row>
    <row r="346" spans="1:5" s="3" customFormat="1" x14ac:dyDescent="0.25">
      <c r="A346" s="3">
        <v>31232</v>
      </c>
      <c r="B346" s="3" t="s">
        <v>790</v>
      </c>
      <c r="C346" s="11">
        <v>66604</v>
      </c>
      <c r="D346" s="11">
        <v>78805</v>
      </c>
      <c r="E346" s="12">
        <f>IF(C346=0,"",(D346-C346)/C346)</f>
      </c>
    </row>
    <row r="347" spans="1:5" s="3" customFormat="1" x14ac:dyDescent="0.25">
      <c r="A347" s="3">
        <v>31266</v>
      </c>
      <c r="B347" s="3" t="s">
        <v>792</v>
      </c>
      <c r="C347" s="11">
        <v>32044</v>
      </c>
      <c r="D347" s="11">
        <v>31181</v>
      </c>
      <c r="E347" s="12">
        <f>IF(C347=0,"",(D347-C347)/C347)</f>
      </c>
    </row>
    <row r="348" spans="1:5" s="3" customFormat="1" x14ac:dyDescent="0.25">
      <c r="A348" s="3">
        <v>31267</v>
      </c>
      <c r="B348" s="3" t="s">
        <v>794</v>
      </c>
      <c r="C348" s="11">
        <v>60867</v>
      </c>
      <c r="D348" s="11">
        <v>65563</v>
      </c>
      <c r="E348" s="12">
        <f>IF(C348=0,"",(D348-C348)/C348)</f>
      </c>
    </row>
    <row r="349" spans="1:5" s="3" customFormat="1" x14ac:dyDescent="0.25">
      <c r="A349" s="3">
        <v>31313</v>
      </c>
      <c r="B349" s="3" t="s">
        <v>796</v>
      </c>
      <c r="C349" s="11">
        <v>3058446</v>
      </c>
      <c r="D349" s="11">
        <v>4382686</v>
      </c>
      <c r="E349" s="12">
        <f>IF(C349=0,"",(D349-C349)/C349)</f>
      </c>
    </row>
    <row r="350" spans="1:5" s="3" customFormat="1" x14ac:dyDescent="0.25">
      <c r="A350" s="3">
        <v>31329</v>
      </c>
      <c r="B350" s="3" t="s">
        <v>799</v>
      </c>
      <c r="C350" s="11">
        <v>92179</v>
      </c>
      <c r="D350" s="11">
        <v>98911</v>
      </c>
      <c r="E350" s="12">
        <f>IF(C350=0,"",(D350-C350)/C350)</f>
      </c>
    </row>
    <row r="351" spans="1:5" s="3" customFormat="1" x14ac:dyDescent="0.25">
      <c r="A351" s="3">
        <v>31345</v>
      </c>
      <c r="B351" s="3" t="s">
        <v>801</v>
      </c>
      <c r="C351" s="11">
        <v>15227</v>
      </c>
      <c r="D351" s="11">
        <v>20416</v>
      </c>
      <c r="E351" s="12">
        <f>IF(C351=0,"",(D351-C351)/C351)</f>
      </c>
    </row>
    <row r="352" spans="1:5" s="3" customFormat="1" x14ac:dyDescent="0.25">
      <c r="A352" s="3">
        <v>31406</v>
      </c>
      <c r="B352" s="3" t="s">
        <v>803</v>
      </c>
      <c r="C352" s="11">
        <v>222524</v>
      </c>
      <c r="D352" s="11">
        <v>219992</v>
      </c>
      <c r="E352" s="12">
        <f>IF(C352=0,"",(D352-C352)/C352)</f>
      </c>
    </row>
    <row r="353" spans="1:5" s="3" customFormat="1" x14ac:dyDescent="0.25">
      <c r="A353" s="3">
        <v>31409</v>
      </c>
      <c r="B353" s="3" t="s">
        <v>71</v>
      </c>
      <c r="C353" s="11">
        <v>34520</v>
      </c>
      <c r="D353" s="11">
        <v>40842</v>
      </c>
      <c r="E353" s="12">
        <f>IF(C353=0,"",(D353-C353)/C353)</f>
      </c>
    </row>
    <row r="354" spans="1:5" s="3" customFormat="1" x14ac:dyDescent="0.25">
      <c r="A354" s="3">
        <v>31410</v>
      </c>
      <c r="B354" s="3" t="s">
        <v>807</v>
      </c>
      <c r="C354" s="11">
        <v>143309</v>
      </c>
      <c r="D354" s="11">
        <v>153066</v>
      </c>
      <c r="E354" s="12">
        <f>IF(C354=0,"",(D354-C354)/C354)</f>
      </c>
    </row>
    <row r="355" spans="1:5" s="3" customFormat="1" x14ac:dyDescent="0.25">
      <c r="A355" s="3">
        <v>31539</v>
      </c>
      <c r="B355" s="3" t="s">
        <v>809</v>
      </c>
      <c r="C355" s="11">
        <v>203025</v>
      </c>
      <c r="D355" s="11">
        <v>265141</v>
      </c>
      <c r="E355" s="12">
        <f>IF(C355=0,"",(D355-C355)/C355)</f>
      </c>
    </row>
    <row r="356" spans="1:5" s="3" customFormat="1" x14ac:dyDescent="0.25">
      <c r="A356" s="3">
        <v>31694</v>
      </c>
      <c r="B356" s="3" t="s">
        <v>811</v>
      </c>
      <c r="C356" s="11">
        <v>322477</v>
      </c>
      <c r="D356" s="11">
        <v>396158</v>
      </c>
      <c r="E356" s="12">
        <f>IF(C356=0,"",(D356-C356)/C356)</f>
      </c>
    </row>
    <row r="357" spans="1:5" s="3" customFormat="1" x14ac:dyDescent="0.25">
      <c r="A357" s="3">
        <v>31723</v>
      </c>
      <c r="B357" s="3" t="s">
        <v>813</v>
      </c>
      <c r="C357" s="11">
        <v>25990</v>
      </c>
      <c r="D357" s="11">
        <v>27191</v>
      </c>
      <c r="E357" s="12">
        <f>IF(C357=0,"",(D357-C357)/C357)</f>
      </c>
    </row>
    <row r="358" spans="1:5" s="3" customFormat="1" x14ac:dyDescent="0.25">
      <c r="A358" s="3">
        <v>31774</v>
      </c>
      <c r="B358" s="3" t="s">
        <v>815</v>
      </c>
      <c r="C358" s="11">
        <v>41224</v>
      </c>
      <c r="D358" s="11">
        <v>39553</v>
      </c>
      <c r="E358" s="12">
        <f>IF(C358=0,"",(D358-C358)/C358)</f>
      </c>
    </row>
    <row r="359" spans="1:5" s="3" customFormat="1" x14ac:dyDescent="0.25">
      <c r="A359" s="3">
        <v>31900</v>
      </c>
      <c r="B359" s="3" t="s">
        <v>817</v>
      </c>
      <c r="C359" s="11">
        <v>142999</v>
      </c>
      <c r="D359" s="11">
        <v>188370</v>
      </c>
      <c r="E359" s="12">
        <f>IF(C359=0,"",(D359-C359)/C359)</f>
      </c>
    </row>
    <row r="360" spans="1:5" s="3" customFormat="1" x14ac:dyDescent="0.25">
      <c r="A360" s="3">
        <v>31994</v>
      </c>
      <c r="B360" s="3" t="s">
        <v>819</v>
      </c>
      <c r="C360" s="11">
        <v>159240</v>
      </c>
      <c r="D360" s="11">
        <v>180992</v>
      </c>
      <c r="E360" s="12">
        <f>IF(C360=0,"",(D360-C360)/C360)</f>
      </c>
    </row>
    <row r="361" spans="1:5" s="3" customFormat="1" x14ac:dyDescent="0.25">
      <c r="A361" s="3">
        <v>32245</v>
      </c>
      <c r="B361" s="3" t="s">
        <v>821</v>
      </c>
      <c r="C361" s="11">
        <v>9926432</v>
      </c>
      <c r="D361" s="11">
        <v>12480067</v>
      </c>
      <c r="E361" s="12">
        <f>IF(C361=0,"",(D361-C361)/C361)</f>
      </c>
    </row>
    <row r="362" spans="1:5" s="3" customFormat="1" x14ac:dyDescent="0.25">
      <c r="A362" s="3">
        <v>32286</v>
      </c>
      <c r="B362" s="3" t="s">
        <v>487</v>
      </c>
      <c r="C362" s="11">
        <v>87221</v>
      </c>
      <c r="D362" s="11">
        <v>111074</v>
      </c>
      <c r="E362" s="12">
        <f>IF(C362=0,"",(D362-C362)/C362)</f>
      </c>
    </row>
    <row r="363" spans="1:5" s="3" customFormat="1" x14ac:dyDescent="0.25">
      <c r="A363" s="3">
        <v>32293</v>
      </c>
      <c r="B363" s="3" t="s">
        <v>824</v>
      </c>
      <c r="C363" s="11">
        <v>139225</v>
      </c>
      <c r="D363" s="11">
        <v>131984</v>
      </c>
      <c r="E363" s="12">
        <f>IF(C363=0,"",(D363-C363)/C363)</f>
      </c>
    </row>
    <row r="364" spans="1:5" s="3" customFormat="1" x14ac:dyDescent="0.25">
      <c r="A364" s="3">
        <v>32307</v>
      </c>
      <c r="B364" s="3" t="s">
        <v>826</v>
      </c>
      <c r="C364" s="11">
        <v>74748</v>
      </c>
      <c r="D364" s="11">
        <v>79489</v>
      </c>
      <c r="E364" s="12">
        <f>IF(C364=0,"",(D364-C364)/C364)</f>
      </c>
    </row>
    <row r="365" spans="1:5" s="3" customFormat="1" x14ac:dyDescent="0.25">
      <c r="A365" s="3">
        <v>32348</v>
      </c>
      <c r="B365" s="3" t="s">
        <v>828</v>
      </c>
      <c r="C365" s="11">
        <v>137523</v>
      </c>
      <c r="D365" s="11">
        <v>222177</v>
      </c>
      <c r="E365" s="12">
        <f>IF(C365=0,"",(D365-C365)/C365)</f>
      </c>
    </row>
    <row r="366" spans="1:5" s="3" customFormat="1" x14ac:dyDescent="0.25">
      <c r="A366" s="3">
        <v>32527</v>
      </c>
      <c r="B366" s="3" t="s">
        <v>830</v>
      </c>
      <c r="C366" s="11">
        <v>836968</v>
      </c>
      <c r="D366" s="11">
        <v>901609</v>
      </c>
      <c r="E366" s="12">
        <f>IF(C366=0,"",(D366-C366)/C366)</f>
      </c>
    </row>
    <row r="367" spans="1:5" s="3" customFormat="1" x14ac:dyDescent="0.25">
      <c r="A367" s="3">
        <v>33645</v>
      </c>
      <c r="B367" s="3" t="s">
        <v>832</v>
      </c>
      <c r="C367" s="11">
        <v>529900</v>
      </c>
      <c r="D367" s="11">
        <v>578531</v>
      </c>
      <c r="E367" s="12">
        <f>IF(C367=0,"",(D367-C367)/C367)</f>
      </c>
    </row>
    <row r="368" spans="1:5" s="3" customFormat="1" x14ac:dyDescent="0.25">
      <c r="A368" s="3">
        <v>33802</v>
      </c>
      <c r="B368" s="3" t="s">
        <v>834</v>
      </c>
      <c r="C368" s="11">
        <v>66257</v>
      </c>
      <c r="D368" s="11">
        <v>69034</v>
      </c>
      <c r="E368" s="12">
        <f>IF(C368=0,"",(D368-C368)/C368)</f>
      </c>
    </row>
    <row r="369" spans="1:5" s="3" customFormat="1" x14ac:dyDescent="0.25">
      <c r="A369" s="3">
        <v>34058</v>
      </c>
      <c r="B369" s="3" t="s">
        <v>836</v>
      </c>
      <c r="C369" s="11">
        <v>383686</v>
      </c>
      <c r="D369" s="11">
        <v>411285</v>
      </c>
      <c r="E369" s="12">
        <f>IF(C369=0,"",(D369-C369)/C369)</f>
      </c>
    </row>
    <row r="370" spans="1:5" s="3" customFormat="1" x14ac:dyDescent="0.25">
      <c r="A370" s="3">
        <v>34711</v>
      </c>
      <c r="B370" s="3" t="s">
        <v>918</v>
      </c>
      <c r="C370" s="11">
        <v>122317</v>
      </c>
      <c r="D370" s="11">
        <v>121929</v>
      </c>
      <c r="E370" s="12">
        <f>IF(C370=0,"",(D370-C370)/C370)</f>
      </c>
    </row>
    <row r="371" spans="1:5" s="3" customFormat="1" x14ac:dyDescent="0.25">
      <c r="A371" s="3">
        <v>57710</v>
      </c>
      <c r="B371" s="3" t="s">
        <v>838</v>
      </c>
      <c r="C371" s="11">
        <v>1120128</v>
      </c>
      <c r="D371" s="11">
        <v>1411198</v>
      </c>
      <c r="E371" s="12">
        <f>IF(C371=0,"",(D371-C371)/C371)</f>
      </c>
    </row>
    <row r="372" spans="1:5" s="3" customFormat="1" x14ac:dyDescent="0.25">
      <c r="A372" s="3">
        <v>58536</v>
      </c>
      <c r="B372" s="3" t="s">
        <v>839</v>
      </c>
      <c r="C372" s="11">
        <v>1972150</v>
      </c>
      <c r="D372" s="11">
        <v>2272510</v>
      </c>
      <c r="E372" s="12">
        <f>IF(C372=0,"",(D372-C372)/C372)</f>
      </c>
    </row>
    <row r="373" spans="1:5" s="3" customFormat="1" x14ac:dyDescent="0.25">
      <c r="A373" s="3">
        <v>59289</v>
      </c>
      <c r="B373" s="3" t="s">
        <v>841</v>
      </c>
      <c r="C373" s="11">
        <v>22693</v>
      </c>
      <c r="D373" s="11">
        <v>181850</v>
      </c>
      <c r="E373" s="12">
        <f>IF(C373=0,"",(D373-C373)/C373)</f>
      </c>
    </row>
    <row r="374" spans="1:5" s="3" customFormat="1" x14ac:dyDescent="0.25">
      <c r="A374" s="3">
        <v>90140</v>
      </c>
      <c r="B374" s="3" t="s">
        <v>843</v>
      </c>
      <c r="C374" s="11">
        <v>931600</v>
      </c>
      <c r="D374" s="11">
        <v>1025162</v>
      </c>
      <c r="E374" s="12">
        <f>IF(C374=0,"",(D374-C374)/C374)</f>
      </c>
    </row>
    <row r="375" spans="1:5" s="3" customFormat="1" x14ac:dyDescent="0.25">
      <c r="A375" s="3">
        <v>90169</v>
      </c>
      <c r="B375" s="3" t="s">
        <v>845</v>
      </c>
      <c r="C375" s="11">
        <v>1398628</v>
      </c>
      <c r="D375" s="11">
        <v>1627182</v>
      </c>
      <c r="E375" s="12">
        <f>IF(C375=0,"",(D375-C375)/C375)</f>
      </c>
    </row>
    <row r="376" spans="1:5" s="3" customFormat="1" x14ac:dyDescent="0.25">
      <c r="A376" s="3">
        <v>90173</v>
      </c>
      <c r="B376" s="3" t="s">
        <v>847</v>
      </c>
      <c r="C376" s="11">
        <v>1609978</v>
      </c>
      <c r="D376" s="11">
        <v>1668521</v>
      </c>
      <c r="E376" s="12">
        <f>IF(C376=0,"",(D376-C376)/C376)</f>
      </c>
    </row>
    <row r="377" spans="1:5" s="3" customFormat="1" x14ac:dyDescent="0.25">
      <c r="A377" s="3">
        <v>90175</v>
      </c>
      <c r="B377" s="3" t="s">
        <v>849</v>
      </c>
      <c r="C377" s="11">
        <v>831740</v>
      </c>
      <c r="D377" s="11">
        <v>792830</v>
      </c>
      <c r="E377" s="12">
        <f>IF(C377=0,"",(D377-C377)/C377)</f>
      </c>
    </row>
    <row r="378" spans="1:5" s="3" customFormat="1" x14ac:dyDescent="0.25">
      <c r="A378" s="3">
        <v>90181</v>
      </c>
      <c r="B378" s="3" t="s">
        <v>851</v>
      </c>
      <c r="C378" s="11">
        <v>693626</v>
      </c>
      <c r="D378" s="11">
        <v>728890</v>
      </c>
      <c r="E378" s="12">
        <f>IF(C378=0,"",(D378-C378)/C378)</f>
      </c>
    </row>
    <row r="379" spans="1:5" s="3" customFormat="1" x14ac:dyDescent="0.25">
      <c r="A379" s="3">
        <v>90183</v>
      </c>
      <c r="B379" s="3" t="s">
        <v>853</v>
      </c>
      <c r="C379" s="11">
        <v>6204550</v>
      </c>
      <c r="D379" s="11">
        <v>6153688</v>
      </c>
      <c r="E379" s="12">
        <f>IF(C379=0,"",(D379-C379)/C379)</f>
      </c>
    </row>
    <row r="380" spans="1:5" s="3" customFormat="1" x14ac:dyDescent="0.25">
      <c r="A380" s="3">
        <v>90188</v>
      </c>
      <c r="B380" s="3" t="s">
        <v>118</v>
      </c>
      <c r="C380" s="11">
        <v>1738869</v>
      </c>
      <c r="D380" s="11">
        <v>2009091</v>
      </c>
      <c r="E380" s="12">
        <f>IF(C380=0,"",(D380-C380)/C380)</f>
      </c>
    </row>
    <row r="381" spans="1:5" s="3" customFormat="1" x14ac:dyDescent="0.25">
      <c r="A381" s="3">
        <v>90190</v>
      </c>
      <c r="B381" s="3" t="s">
        <v>856</v>
      </c>
      <c r="C381" s="11">
        <v>1307758</v>
      </c>
      <c r="D381" s="11">
        <v>1297467</v>
      </c>
      <c r="E381" s="12">
        <f>IF(C381=0,"",(D381-C381)/C381)</f>
      </c>
    </row>
    <row r="382" spans="1:5" s="3" customFormat="1" x14ac:dyDescent="0.25">
      <c r="A382" s="3">
        <v>90191</v>
      </c>
      <c r="B382" s="3" t="s">
        <v>858</v>
      </c>
      <c r="C382" s="11">
        <v>584519</v>
      </c>
      <c r="D382" s="11">
        <v>680250</v>
      </c>
      <c r="E382" s="12">
        <f>IF(C382=0,"",(D382-C382)/C382)</f>
      </c>
    </row>
    <row r="383" spans="1:5" s="3" customFormat="1" x14ac:dyDescent="0.25">
      <c r="A383" s="3">
        <v>90196</v>
      </c>
      <c r="B383" s="3" t="s">
        <v>860</v>
      </c>
      <c r="C383" s="11">
        <v>2820893</v>
      </c>
      <c r="D383" s="11">
        <v>2885657</v>
      </c>
      <c r="E383" s="12">
        <f>IF(C383=0,"",(D383-C383)/C383)</f>
      </c>
    </row>
    <row r="384" spans="1:5" s="3" customFormat="1" x14ac:dyDescent="0.25">
      <c r="A384" s="3">
        <v>90203</v>
      </c>
      <c r="B384" s="3" t="s">
        <v>862</v>
      </c>
      <c r="C384" s="11">
        <v>929925</v>
      </c>
      <c r="D384" s="11">
        <v>1054606</v>
      </c>
      <c r="E384" s="12">
        <f>IF(C384=0,"",(D384-C384)/C384)</f>
      </c>
    </row>
    <row r="385" spans="1:5" s="3" customFormat="1" x14ac:dyDescent="0.25">
      <c r="A385" s="3">
        <v>90206</v>
      </c>
      <c r="B385" s="3" t="s">
        <v>864</v>
      </c>
      <c r="C385" s="11">
        <v>1078877</v>
      </c>
      <c r="D385" s="11">
        <v>1493176</v>
      </c>
      <c r="E385" s="12">
        <f>IF(C385=0,"",(D385-C385)/C385)</f>
      </c>
    </row>
    <row r="386" spans="1:5" s="3" customFormat="1" x14ac:dyDescent="0.25">
      <c r="A386" s="3">
        <v>90208</v>
      </c>
      <c r="B386" s="3" t="s">
        <v>866</v>
      </c>
      <c r="C386" s="11">
        <v>945137</v>
      </c>
      <c r="D386" s="11">
        <v>1112104</v>
      </c>
      <c r="E386" s="12">
        <f>IF(C386=0,"",(D386-C386)/C386)</f>
      </c>
    </row>
    <row r="387" spans="1:5" s="3" customFormat="1" x14ac:dyDescent="0.25">
      <c r="A387" s="3">
        <v>90213</v>
      </c>
      <c r="B387" s="3" t="s">
        <v>868</v>
      </c>
      <c r="C387" s="11">
        <v>3668204</v>
      </c>
      <c r="D387" s="11">
        <v>4625654</v>
      </c>
      <c r="E387" s="12">
        <f>IF(C387=0,"",(D387-C387)/C387)</f>
      </c>
    </row>
    <row r="388" spans="1:5" s="3" customFormat="1" x14ac:dyDescent="0.25">
      <c r="A388" s="3">
        <v>90215</v>
      </c>
      <c r="B388" s="3" t="s">
        <v>870</v>
      </c>
      <c r="C388" s="11">
        <v>2485908</v>
      </c>
      <c r="D388" s="11">
        <v>2802372</v>
      </c>
      <c r="E388" s="12">
        <f>IF(C388=0,"",(D388-C388)/C388)</f>
      </c>
    </row>
    <row r="389" spans="1:5" s="3" customFormat="1" x14ac:dyDescent="0.25">
      <c r="A389" s="3">
        <v>90227</v>
      </c>
      <c r="B389" s="3" t="s">
        <v>872</v>
      </c>
      <c r="C389" s="11">
        <v>1657767</v>
      </c>
      <c r="D389" s="11">
        <v>1878566</v>
      </c>
      <c r="E389" s="12">
        <f>IF(C389=0,"",(D389-C389)/C389)</f>
      </c>
    </row>
    <row r="390" spans="1:5" s="3" customFormat="1" x14ac:dyDescent="0.25">
      <c r="A390" s="3">
        <v>90229</v>
      </c>
      <c r="B390" s="3" t="s">
        <v>546</v>
      </c>
      <c r="C390" s="11">
        <v>275933</v>
      </c>
      <c r="D390" s="11">
        <v>298712</v>
      </c>
      <c r="E390" s="12">
        <f>IF(C390=0,"",(D390-C390)/C390)</f>
      </c>
    </row>
    <row r="391" spans="1:5" s="3" customFormat="1" x14ac:dyDescent="0.25">
      <c r="A391" s="3">
        <v>90234</v>
      </c>
      <c r="B391" s="3" t="s">
        <v>875</v>
      </c>
      <c r="C391" s="11">
        <v>280576</v>
      </c>
      <c r="D391" s="11">
        <v>263046</v>
      </c>
      <c r="E391" s="12">
        <f>IF(C391=0,"",(D391-C391)/C391)</f>
      </c>
    </row>
    <row r="392" spans="1:5" s="3" customFormat="1" x14ac:dyDescent="0.25">
      <c r="A392" s="3">
        <v>90235</v>
      </c>
      <c r="B392" s="3" t="s">
        <v>877</v>
      </c>
      <c r="C392" s="11">
        <v>1463645</v>
      </c>
      <c r="D392" s="11">
        <v>1612083</v>
      </c>
      <c r="E392" s="12">
        <f>IF(C392=0,"",(D392-C392)/C392)</f>
      </c>
    </row>
    <row r="393" spans="1:5" s="3" customFormat="1" x14ac:dyDescent="0.25">
      <c r="A393" s="3">
        <v>90245</v>
      </c>
      <c r="B393" s="3" t="s">
        <v>879</v>
      </c>
      <c r="C393" s="11">
        <v>631830</v>
      </c>
      <c r="D393" s="11">
        <v>813958</v>
      </c>
      <c r="E393" s="12">
        <f>IF(C393=0,"",(D393-C393)/C393)</f>
      </c>
    </row>
    <row r="394" spans="1:5" s="3" customFormat="1" x14ac:dyDescent="0.25">
      <c r="A394" s="3">
        <v>90250</v>
      </c>
      <c r="B394" s="3" t="s">
        <v>881</v>
      </c>
      <c r="C394" s="11">
        <v>4869275</v>
      </c>
      <c r="D394" s="11">
        <v>5406916</v>
      </c>
      <c r="E394" s="12">
        <f>IF(C394=0,"",(D394-C394)/C394)</f>
      </c>
    </row>
    <row r="395" spans="1:5" s="3" customFormat="1" x14ac:dyDescent="0.25">
      <c r="A395" s="3">
        <v>90251</v>
      </c>
      <c r="B395" s="3" t="s">
        <v>883</v>
      </c>
      <c r="C395" s="11">
        <v>1537046</v>
      </c>
      <c r="D395" s="11">
        <v>1576539</v>
      </c>
      <c r="E395" s="12">
        <f>IF(C395=0,"",(D395-C395)/C395)</f>
      </c>
    </row>
    <row r="396" spans="1:5" s="3" customFormat="1" x14ac:dyDescent="0.25">
      <c r="A396" s="3">
        <v>90253</v>
      </c>
      <c r="B396" s="3" t="s">
        <v>885</v>
      </c>
      <c r="C396" s="11">
        <v>922461</v>
      </c>
      <c r="D396" s="11">
        <v>1068191</v>
      </c>
      <c r="E396" s="12">
        <f>IF(C396=0,"",(D396-C396)/C396)</f>
      </c>
    </row>
    <row r="397" spans="1:5" s="3" customFormat="1" x14ac:dyDescent="0.25">
      <c r="A397" s="3">
        <v>90258</v>
      </c>
      <c r="B397" s="3" t="s">
        <v>887</v>
      </c>
      <c r="C397" s="11">
        <v>383177</v>
      </c>
      <c r="D397" s="11">
        <v>439941</v>
      </c>
      <c r="E397" s="12">
        <f>IF(C397=0,"",(D397-C397)/C397)</f>
      </c>
    </row>
    <row r="398" spans="1:5" s="3" customFormat="1" x14ac:dyDescent="0.25">
      <c r="A398" s="3">
        <v>90259</v>
      </c>
      <c r="B398" s="3" t="s">
        <v>889</v>
      </c>
      <c r="C398" s="11">
        <v>1458969</v>
      </c>
      <c r="D398" s="11">
        <v>1834444</v>
      </c>
      <c r="E398" s="12">
        <f>IF(C398=0,"",(D398-C398)/C398)</f>
      </c>
    </row>
    <row r="399" spans="1:5" s="3" customFormat="1" x14ac:dyDescent="0.25">
      <c r="A399" s="3">
        <v>90268</v>
      </c>
      <c r="B399" s="3" t="s">
        <v>891</v>
      </c>
      <c r="C399" s="11">
        <v>493384</v>
      </c>
      <c r="D399" s="11">
        <v>469291</v>
      </c>
      <c r="E399" s="12">
        <f>IF(C399=0,"",(D399-C399)/C399)</f>
      </c>
    </row>
    <row r="400" spans="1:5" s="3" customFormat="1" x14ac:dyDescent="0.25">
      <c r="A400" s="3">
        <v>90282</v>
      </c>
      <c r="B400" s="3" t="s">
        <v>893</v>
      </c>
      <c r="C400" s="11">
        <v>1503914</v>
      </c>
      <c r="D400" s="11">
        <v>2396023</v>
      </c>
      <c r="E400" s="12">
        <f>IF(C400=0,"",(D400-C400)/C400)</f>
      </c>
    </row>
    <row r="401" spans="1:5" s="3" customFormat="1" x14ac:dyDescent="0.25">
      <c r="A401" s="3">
        <v>90290</v>
      </c>
      <c r="B401" s="3" t="s">
        <v>895</v>
      </c>
      <c r="C401" s="11">
        <v>2501503</v>
      </c>
      <c r="D401" s="11">
        <v>2916156</v>
      </c>
      <c r="E401" s="12">
        <f>IF(C401=0,"",(D401-C401)/C401)</f>
      </c>
    </row>
    <row r="402" spans="1:5" s="3" customFormat="1" x14ac:dyDescent="0.25">
      <c r="A402" s="3">
        <v>90291</v>
      </c>
      <c r="B402" s="3" t="s">
        <v>897</v>
      </c>
      <c r="C402" s="11">
        <v>718723</v>
      </c>
      <c r="D402" s="11">
        <v>864036</v>
      </c>
      <c r="E402" s="12">
        <f>IF(C402=0,"",(D402-C402)/C402)</f>
      </c>
    </row>
    <row r="403" spans="1:5" s="3" customFormat="1" x14ac:dyDescent="0.25">
      <c r="A403" s="3">
        <v>90297</v>
      </c>
      <c r="B403" s="3" t="s">
        <v>899</v>
      </c>
      <c r="C403" s="11">
        <v>1130141</v>
      </c>
      <c r="D403" s="11">
        <v>1312790</v>
      </c>
      <c r="E403" s="12">
        <f>IF(C403=0,"",(D403-C403)/C403)</f>
      </c>
    </row>
    <row r="404" spans="1:5" s="3" customFormat="1" x14ac:dyDescent="0.25">
      <c r="A404" s="3">
        <v>90303</v>
      </c>
      <c r="B404" s="3" t="s">
        <v>901</v>
      </c>
      <c r="C404" s="11">
        <v>2111040</v>
      </c>
      <c r="D404" s="11">
        <v>2556320</v>
      </c>
      <c r="E404" s="12">
        <f>IF(C404=0,"",(D404-C404)/C404)</f>
      </c>
    </row>
    <row r="405" spans="1:5" s="3" customFormat="1" x14ac:dyDescent="0.25">
      <c r="A405" s="3">
        <v>90308</v>
      </c>
      <c r="B405" s="3" t="s">
        <v>903</v>
      </c>
      <c r="C405" s="11">
        <v>685436</v>
      </c>
      <c r="D405" s="11">
        <v>1046911</v>
      </c>
      <c r="E405" s="12">
        <f>IF(C405=0,"",(D405-C405)/C405)</f>
      </c>
    </row>
    <row r="406" spans="1:5" s="3" customFormat="1" x14ac:dyDescent="0.25">
      <c r="A406" s="3">
        <v>90311</v>
      </c>
      <c r="B406" s="3" t="s">
        <v>905</v>
      </c>
      <c r="C406" s="11">
        <v>500594</v>
      </c>
      <c r="D406" s="11">
        <v>585390</v>
      </c>
      <c r="E406" s="12">
        <f>IF(C406=0,"",(D406-C406)/C406)</f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44" customWidth="1"/>
    <col min="3" max="4" width="22" customWidth="1"/>
  </cols>
  <sheetData>
    <row r="1" ht="18" customHeight="1" spans="1:4" s="5" customFormat="1" x14ac:dyDescent="0.25">
      <c r="A1" s="5" t="s">
        <v>13</v>
      </c>
      <c r="B1" s="5" t="s">
        <v>120</v>
      </c>
      <c r="C1" s="5" t="s">
        <v>919</v>
      </c>
      <c r="D1" s="5" t="s">
        <v>920</v>
      </c>
    </row>
    <row r="2" spans="1:4" s="3" customFormat="1" x14ac:dyDescent="0.25">
      <c r="A2" s="3">
        <v>14134</v>
      </c>
      <c r="B2" s="3" t="s">
        <v>154</v>
      </c>
      <c r="C2" s="3" t="s">
        <v>921</v>
      </c>
      <c r="D2" s="3" t="s">
        <v>922</v>
      </c>
    </row>
    <row r="3" spans="1:4" s="3" customFormat="1" x14ac:dyDescent="0.25">
      <c r="A3" s="3">
        <v>17741</v>
      </c>
      <c r="B3" s="3" t="s">
        <v>198</v>
      </c>
      <c r="C3" s="3" t="s">
        <v>923</v>
      </c>
      <c r="D3" s="3" t="s">
        <v>924</v>
      </c>
    </row>
    <row r="4" spans="1:4" s="3" customFormat="1" x14ac:dyDescent="0.25">
      <c r="A4" s="3">
        <v>18238</v>
      </c>
      <c r="B4" s="3" t="s">
        <v>248</v>
      </c>
      <c r="C4" s="3" t="s">
        <v>925</v>
      </c>
      <c r="D4" s="3" t="s">
        <v>926</v>
      </c>
    </row>
    <row r="5" spans="1:4" s="3" customFormat="1" x14ac:dyDescent="0.25">
      <c r="A5" s="3">
        <v>23287</v>
      </c>
      <c r="B5" s="3" t="s">
        <v>267</v>
      </c>
      <c r="C5" s="3" t="s">
        <v>927</v>
      </c>
      <c r="D5" s="3" t="s">
        <v>928</v>
      </c>
    </row>
    <row r="6" spans="1:4" s="3" customFormat="1" x14ac:dyDescent="0.25">
      <c r="A6" s="3">
        <v>26336</v>
      </c>
      <c r="B6" s="3" t="s">
        <v>280</v>
      </c>
      <c r="C6" s="3" t="s">
        <v>929</v>
      </c>
      <c r="D6" s="3" t="s">
        <v>930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Closed or merged</vt:lpstr>
      <vt:lpstr>Name changes</vt:lpstr>
      <vt:lpstr>Websites</vt:lpstr>
      <vt:lpstr>Assets</vt:lpstr>
      <vt:lpstr>City changes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Bank Tracker</dc:creator>
  <dc:title/>
  <dc:subject/>
  <dc:description/>
  <cp:keywords/>
  <cp:category/>
  <cp:lastModifiedBy>Unknown</cp:lastModifiedBy>
  <dcterms:created xsi:type="dcterms:W3CDTF">2026-07-03T17:17:08Z</dcterms:created>
  <dcterms:modified xsi:type="dcterms:W3CDTF">2026-07-03T17:17:08Z</dcterms:modified>
</cp:coreProperties>
</file>